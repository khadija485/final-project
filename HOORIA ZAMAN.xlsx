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Q1\Desktop\"/>
    </mc:Choice>
  </mc:AlternateContent>
  <bookViews>
    <workbookView xWindow="0" yWindow="0" windowWidth="28800" windowHeight="11700" activeTab="1"/>
  </bookViews>
  <sheets>
    <sheet name="Sheet2" sheetId="2" r:id="rId1"/>
    <sheet name="Sheet1" sheetId="1" r:id="rId2"/>
  </sheets>
  <calcPr calcId="162913"/>
  <pivotCaches>
    <pivotCache cacheId="7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25" i="1" l="1"/>
  <c r="L24" i="1"/>
  <c r="L23" i="1"/>
  <c r="L22" i="1"/>
  <c r="L21" i="1"/>
  <c r="L20" i="1"/>
  <c r="L19" i="1"/>
  <c r="L18" i="1"/>
  <c r="L17" i="1"/>
  <c r="I18" i="1"/>
  <c r="I19" i="1"/>
  <c r="I20" i="1"/>
  <c r="I21" i="1"/>
  <c r="I22" i="1"/>
  <c r="I23" i="1"/>
  <c r="I24" i="1"/>
  <c r="I17" i="1"/>
  <c r="P4" i="1"/>
  <c r="O5" i="1"/>
  <c r="O6" i="1"/>
  <c r="O7" i="1"/>
  <c r="O8" i="1"/>
  <c r="O4" i="1"/>
  <c r="D12" i="1"/>
  <c r="D11" i="1"/>
</calcChain>
</file>

<file path=xl/sharedStrings.xml><?xml version="1.0" encoding="utf-8"?>
<sst xmlns="http://schemas.openxmlformats.org/spreadsheetml/2006/main" count="116" uniqueCount="83">
  <si>
    <t>Date</t>
  </si>
  <si>
    <t>Categories</t>
  </si>
  <si>
    <t>Discription</t>
  </si>
  <si>
    <t>Payment</t>
  </si>
  <si>
    <t>Amount</t>
  </si>
  <si>
    <t>Salary</t>
  </si>
  <si>
    <t>21/6/2026</t>
  </si>
  <si>
    <t>21/6/2027</t>
  </si>
  <si>
    <t>21/6/2028</t>
  </si>
  <si>
    <t>21/6/2029</t>
  </si>
  <si>
    <t>21/6/2030</t>
  </si>
  <si>
    <t>BBQ</t>
  </si>
  <si>
    <t>Shoes</t>
  </si>
  <si>
    <t>Bill</t>
  </si>
  <si>
    <t>Food</t>
  </si>
  <si>
    <t>Shopping</t>
  </si>
  <si>
    <t>Utilities</t>
  </si>
  <si>
    <t>Commute</t>
  </si>
  <si>
    <t>Sports</t>
  </si>
  <si>
    <t>Ride</t>
  </si>
  <si>
    <t>Football</t>
  </si>
  <si>
    <t>Cash</t>
  </si>
  <si>
    <t>SUMMARY</t>
  </si>
  <si>
    <t>TOTAL</t>
  </si>
  <si>
    <t>SAVINGS</t>
  </si>
  <si>
    <t>ITEMS</t>
  </si>
  <si>
    <t>ITEM NAME</t>
  </si>
  <si>
    <t>CATEGORY</t>
  </si>
  <si>
    <t>PRICE</t>
  </si>
  <si>
    <t>QUANTITY</t>
  </si>
  <si>
    <t>REVENUE</t>
  </si>
  <si>
    <t>ITM001</t>
  </si>
  <si>
    <t>ITM002</t>
  </si>
  <si>
    <t>ITM003</t>
  </si>
  <si>
    <t>ITM004</t>
  </si>
  <si>
    <t>ITM005</t>
  </si>
  <si>
    <t>Keyboard</t>
  </si>
  <si>
    <t>Mouse</t>
  </si>
  <si>
    <t>Printer</t>
  </si>
  <si>
    <t>CPU</t>
  </si>
  <si>
    <t>Notebook</t>
  </si>
  <si>
    <t>Electronic</t>
  </si>
  <si>
    <t>Stationary</t>
  </si>
  <si>
    <t>EMP ID</t>
  </si>
  <si>
    <t>NAME</t>
  </si>
  <si>
    <t>REGION</t>
  </si>
  <si>
    <t>AMOUNT</t>
  </si>
  <si>
    <t>COMM</t>
  </si>
  <si>
    <t>EARNED</t>
  </si>
  <si>
    <t>Hooria</t>
  </si>
  <si>
    <t>Sania</t>
  </si>
  <si>
    <t>Yashfa</t>
  </si>
  <si>
    <t>Maheen</t>
  </si>
  <si>
    <t>North</t>
  </si>
  <si>
    <t>East</t>
  </si>
  <si>
    <t>South</t>
  </si>
  <si>
    <t>Oil</t>
  </si>
  <si>
    <t>Grocery</t>
  </si>
  <si>
    <t>Mobile</t>
  </si>
  <si>
    <t>Bag</t>
  </si>
  <si>
    <t>Soap</t>
  </si>
  <si>
    <t>SUM</t>
  </si>
  <si>
    <t>MIN</t>
  </si>
  <si>
    <t>MAX</t>
  </si>
  <si>
    <t xml:space="preserve">COUNT </t>
  </si>
  <si>
    <t>COUNTA</t>
  </si>
  <si>
    <t>AVERAGE</t>
  </si>
  <si>
    <t>IF</t>
  </si>
  <si>
    <t xml:space="preserve">COUNTIF </t>
  </si>
  <si>
    <t>SUMIF</t>
  </si>
  <si>
    <t>VL0OKUP</t>
  </si>
  <si>
    <t>DEPARTMENT</t>
  </si>
  <si>
    <t>ID</t>
  </si>
  <si>
    <t>SALES</t>
  </si>
  <si>
    <t>MARKETING</t>
  </si>
  <si>
    <t>HOORIA</t>
  </si>
  <si>
    <t>31430</t>
  </si>
  <si>
    <t>Row Labels</t>
  </si>
  <si>
    <t>(blank)</t>
  </si>
  <si>
    <t>Grand Total</t>
  </si>
  <si>
    <t>Column Labels</t>
  </si>
  <si>
    <t>(All)</t>
  </si>
  <si>
    <t>Count of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</si>
</sst>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2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[HOORIA ZAMAN.xlsx]Sheet2!PivotTable1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Sheet2!$B$3:$B$4</c:f>
              <c:strCache>
                <c:ptCount val="1"/>
                <c:pt idx="0">
                  <c:v>Hooria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Sheet2!$A$5:$A$14</c:f>
              <c:strCache>
                <c:ptCount val="9"/>
                <c:pt idx="0">
                  <c:v>101</c:v>
                </c:pt>
                <c:pt idx="1">
                  <c:v>102</c:v>
                </c:pt>
                <c:pt idx="2">
                  <c:v>103</c:v>
                </c:pt>
                <c:pt idx="3">
                  <c:v>104</c:v>
                </c:pt>
                <c:pt idx="4">
                  <c:v>105</c:v>
                </c:pt>
                <c:pt idx="5">
                  <c:v>106</c:v>
                </c:pt>
                <c:pt idx="6">
                  <c:v>107</c:v>
                </c:pt>
                <c:pt idx="7">
                  <c:v>108</c:v>
                </c:pt>
                <c:pt idx="8">
                  <c:v>(blank)</c:v>
                </c:pt>
              </c:strCache>
            </c:strRef>
          </c:cat>
          <c:val>
            <c:numRef>
              <c:f>Sheet2!$B$5:$B$14</c:f>
              <c:numCache>
                <c:formatCode>General</c:formatCode>
                <c:ptCount val="9"/>
                <c:pt idx="0">
                  <c:v>1</c:v>
                </c:pt>
                <c:pt idx="3">
                  <c:v>1</c:v>
                </c:pt>
                <c:pt idx="6">
                  <c:v>1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92-46A4-AFA2-8EBA366548E2}"/>
            </c:ext>
          </c:extLst>
        </c:ser>
        <c:ser>
          <c:idx val="1"/>
          <c:order val="1"/>
          <c:tx>
            <c:strRef>
              <c:f>Sheet2!$C$3:$C$4</c:f>
              <c:strCache>
                <c:ptCount val="1"/>
                <c:pt idx="0">
                  <c:v>Maheen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Sheet2!$A$5:$A$14</c:f>
              <c:strCache>
                <c:ptCount val="9"/>
                <c:pt idx="0">
                  <c:v>101</c:v>
                </c:pt>
                <c:pt idx="1">
                  <c:v>102</c:v>
                </c:pt>
                <c:pt idx="2">
                  <c:v>103</c:v>
                </c:pt>
                <c:pt idx="3">
                  <c:v>104</c:v>
                </c:pt>
                <c:pt idx="4">
                  <c:v>105</c:v>
                </c:pt>
                <c:pt idx="5">
                  <c:v>106</c:v>
                </c:pt>
                <c:pt idx="6">
                  <c:v>107</c:v>
                </c:pt>
                <c:pt idx="7">
                  <c:v>108</c:v>
                </c:pt>
                <c:pt idx="8">
                  <c:v>(blank)</c:v>
                </c:pt>
              </c:strCache>
            </c:strRef>
          </c:cat>
          <c:val>
            <c:numRef>
              <c:f>Sheet2!$C$5:$C$14</c:f>
              <c:numCache>
                <c:formatCode>General</c:formatCode>
                <c:ptCount val="9"/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292-46A4-AFA2-8EBA366548E2}"/>
            </c:ext>
          </c:extLst>
        </c:ser>
        <c:ser>
          <c:idx val="2"/>
          <c:order val="2"/>
          <c:tx>
            <c:strRef>
              <c:f>Sheet2!$D$3:$D$4</c:f>
              <c:strCache>
                <c:ptCount val="1"/>
                <c:pt idx="0">
                  <c:v>Sania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Sheet2!$A$5:$A$14</c:f>
              <c:strCache>
                <c:ptCount val="9"/>
                <c:pt idx="0">
                  <c:v>101</c:v>
                </c:pt>
                <c:pt idx="1">
                  <c:v>102</c:v>
                </c:pt>
                <c:pt idx="2">
                  <c:v>103</c:v>
                </c:pt>
                <c:pt idx="3">
                  <c:v>104</c:v>
                </c:pt>
                <c:pt idx="4">
                  <c:v>105</c:v>
                </c:pt>
                <c:pt idx="5">
                  <c:v>106</c:v>
                </c:pt>
                <c:pt idx="6">
                  <c:v>107</c:v>
                </c:pt>
                <c:pt idx="7">
                  <c:v>108</c:v>
                </c:pt>
                <c:pt idx="8">
                  <c:v>(blank)</c:v>
                </c:pt>
              </c:strCache>
            </c:strRef>
          </c:cat>
          <c:val>
            <c:numRef>
              <c:f>Sheet2!$D$5:$D$14</c:f>
              <c:numCache>
                <c:formatCode>General</c:formatCode>
                <c:ptCount val="9"/>
                <c:pt idx="1">
                  <c:v>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292-46A4-AFA2-8EBA366548E2}"/>
            </c:ext>
          </c:extLst>
        </c:ser>
        <c:ser>
          <c:idx val="3"/>
          <c:order val="3"/>
          <c:tx>
            <c:strRef>
              <c:f>Sheet2!$E$3:$E$4</c:f>
              <c:strCache>
                <c:ptCount val="1"/>
                <c:pt idx="0">
                  <c:v>Yashfa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Sheet2!$A$5:$A$14</c:f>
              <c:strCache>
                <c:ptCount val="9"/>
                <c:pt idx="0">
                  <c:v>101</c:v>
                </c:pt>
                <c:pt idx="1">
                  <c:v>102</c:v>
                </c:pt>
                <c:pt idx="2">
                  <c:v>103</c:v>
                </c:pt>
                <c:pt idx="3">
                  <c:v>104</c:v>
                </c:pt>
                <c:pt idx="4">
                  <c:v>105</c:v>
                </c:pt>
                <c:pt idx="5">
                  <c:v>106</c:v>
                </c:pt>
                <c:pt idx="6">
                  <c:v>107</c:v>
                </c:pt>
                <c:pt idx="7">
                  <c:v>108</c:v>
                </c:pt>
                <c:pt idx="8">
                  <c:v>(blank)</c:v>
                </c:pt>
              </c:strCache>
            </c:strRef>
          </c:cat>
          <c:val>
            <c:numRef>
              <c:f>Sheet2!$E$5:$E$14</c:f>
              <c:numCache>
                <c:formatCode>General</c:formatCode>
                <c:ptCount val="9"/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292-46A4-AFA2-8EBA366548E2}"/>
            </c:ext>
          </c:extLst>
        </c:ser>
        <c:ser>
          <c:idx val="4"/>
          <c:order val="4"/>
          <c:tx>
            <c:strRef>
              <c:f>Sheet2!$F$3:$F$4</c:f>
              <c:strCache>
                <c:ptCount val="1"/>
                <c:pt idx="0">
                  <c:v>(blank)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Sheet2!$A$5:$A$14</c:f>
              <c:strCache>
                <c:ptCount val="9"/>
                <c:pt idx="0">
                  <c:v>101</c:v>
                </c:pt>
                <c:pt idx="1">
                  <c:v>102</c:v>
                </c:pt>
                <c:pt idx="2">
                  <c:v>103</c:v>
                </c:pt>
                <c:pt idx="3">
                  <c:v>104</c:v>
                </c:pt>
                <c:pt idx="4">
                  <c:v>105</c:v>
                </c:pt>
                <c:pt idx="5">
                  <c:v>106</c:v>
                </c:pt>
                <c:pt idx="6">
                  <c:v>107</c:v>
                </c:pt>
                <c:pt idx="7">
                  <c:v>108</c:v>
                </c:pt>
                <c:pt idx="8">
                  <c:v>(blank)</c:v>
                </c:pt>
              </c:strCache>
            </c:strRef>
          </c:cat>
          <c:val>
            <c:numRef>
              <c:f>Sheet2!$F$5:$F$14</c:f>
              <c:numCache>
                <c:formatCode>General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4-5292-46A4-AFA2-8EBA366548E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95372544"/>
        <c:axId val="795370880"/>
      </c:barChart>
      <c:catAx>
        <c:axId val="795372544"/>
        <c:scaling>
          <c:orientation val="minMax"/>
        </c:scaling>
        <c:delete val="1"/>
        <c:axPos val="b"/>
        <c:title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795370880"/>
        <c:crosses val="autoZero"/>
        <c:auto val="1"/>
        <c:lblAlgn val="ctr"/>
        <c:lblOffset val="100"/>
        <c:noMultiLvlLbl val="0"/>
      </c:catAx>
      <c:valAx>
        <c:axId val="795370880"/>
        <c:scaling>
          <c:orientation val="minMax"/>
        </c:scaling>
        <c:delete val="1"/>
        <c:axPos val="l"/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79537254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604837</xdr:colOff>
      <xdr:row>11</xdr:row>
      <xdr:rowOff>114300</xdr:rowOff>
    </xdr:from>
    <xdr:to>
      <xdr:col>14</xdr:col>
      <xdr:colOff>766762</xdr:colOff>
      <xdr:row>26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BQ1" refreshedDate="46193.652894444444" createdVersion="6" refreshedVersion="6" minRefreshableVersion="3" recordCount="9">
  <cacheSource type="worksheet">
    <worksheetSource name="Table3"/>
  </cacheSource>
  <cacheFields count="10">
    <cacheField name="EMP ID" numFmtId="0">
      <sharedItems containsString="0" containsBlank="1" containsNumber="1" containsInteger="1" minValue="101" maxValue="108" count="9">
        <n v="101"/>
        <n v="102"/>
        <n v="103"/>
        <n v="104"/>
        <n v="105"/>
        <n v="106"/>
        <n v="107"/>
        <n v="108"/>
        <m/>
      </sharedItems>
    </cacheField>
    <cacheField name="NAME" numFmtId="0">
      <sharedItems containsBlank="1" count="5">
        <s v="Hooria"/>
        <s v="Sania"/>
        <s v="Yashfa"/>
        <s v="Maheen"/>
        <m/>
      </sharedItems>
    </cacheField>
    <cacheField name="REGION" numFmtId="0">
      <sharedItems containsBlank="1"/>
    </cacheField>
    <cacheField name="CATEGORY" numFmtId="0">
      <sharedItems containsBlank="1"/>
    </cacheField>
    <cacheField name="AMOUNT" numFmtId="0">
      <sharedItems containsString="0" containsBlank="1" containsNumber="1" containsInteger="1" minValue="500" maxValue="35000" count="9">
        <n v="500"/>
        <n v="3000"/>
        <n v="5000"/>
        <n v="1000"/>
        <n v="35000"/>
        <n v="1500"/>
        <n v="600"/>
        <n v="6000"/>
        <m/>
      </sharedItems>
    </cacheField>
    <cacheField name="COMM" numFmtId="0">
      <sharedItems containsString="0" containsBlank="1" containsNumber="1" minValue="0.2" maxValue="0.9"/>
    </cacheField>
    <cacheField name="EARNED" numFmtId="0">
      <sharedItems containsMixedTypes="1" containsNumber="1" containsInteger="1" minValue="100" maxValue="21000" count="9">
        <n v="100"/>
        <n v="900"/>
        <n v="2000"/>
        <n v="500"/>
        <n v="21000"/>
        <n v="1050"/>
        <n v="480"/>
        <n v="5400"/>
        <s v="HOORIA"/>
      </sharedItems>
    </cacheField>
    <cacheField name="DEPARTMENT" numFmtId="0">
      <sharedItems containsBlank="1" count="4">
        <s v="ID"/>
        <s v="SALES"/>
        <s v="MARKETING"/>
        <m/>
      </sharedItems>
    </cacheField>
    <cacheField name="SUM" numFmtId="0">
      <sharedItems/>
    </cacheField>
    <cacheField name="31430" numFmtId="0">
      <sharedItems containsMixedTypes="1" containsNumber="1" minValue="4" maxValue="21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">
  <r>
    <x v="0"/>
    <x v="0"/>
    <s v="North"/>
    <s v="Oil"/>
    <x v="0"/>
    <n v="0.2"/>
    <x v="0"/>
    <x v="0"/>
    <s v="MIN"/>
    <n v="100"/>
  </r>
  <r>
    <x v="1"/>
    <x v="1"/>
    <s v="North"/>
    <s v="Grocery"/>
    <x v="1"/>
    <n v="0.3"/>
    <x v="1"/>
    <x v="1"/>
    <s v="MAX"/>
    <n v="21000"/>
  </r>
  <r>
    <x v="2"/>
    <x v="2"/>
    <s v="North"/>
    <s v="Shopping"/>
    <x v="2"/>
    <n v="0.4"/>
    <x v="2"/>
    <x v="2"/>
    <s v="COUNT "/>
    <n v="8"/>
  </r>
  <r>
    <x v="3"/>
    <x v="0"/>
    <s v="South"/>
    <s v="Stationary"/>
    <x v="3"/>
    <n v="0.5"/>
    <x v="3"/>
    <x v="0"/>
    <s v="COUNTA"/>
    <n v="9"/>
  </r>
  <r>
    <x v="4"/>
    <x v="3"/>
    <s v="North"/>
    <s v="Mobile"/>
    <x v="4"/>
    <n v="0.6"/>
    <x v="4"/>
    <x v="1"/>
    <s v="AVERAGE"/>
    <n v="3928.75"/>
  </r>
  <r>
    <x v="5"/>
    <x v="1"/>
    <s v="South"/>
    <s v="Bag"/>
    <x v="5"/>
    <n v="0.7"/>
    <x v="5"/>
    <x v="2"/>
    <s v="IF"/>
    <s v="No"/>
  </r>
  <r>
    <x v="6"/>
    <x v="0"/>
    <s v="East"/>
    <s v="Soap"/>
    <x v="6"/>
    <n v="0.8"/>
    <x v="6"/>
    <x v="0"/>
    <s v="COUNTIF "/>
    <n v="4"/>
  </r>
  <r>
    <x v="7"/>
    <x v="0"/>
    <s v="East"/>
    <s v="Bill"/>
    <x v="7"/>
    <n v="0.9"/>
    <x v="7"/>
    <x v="0"/>
    <s v="SUMIF"/>
    <n v="6480"/>
  </r>
  <r>
    <x v="8"/>
    <x v="4"/>
    <m/>
    <m/>
    <x v="8"/>
    <m/>
    <x v="8"/>
    <x v="3"/>
    <s v="VL0OKUP"/>
    <n v="3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G14" firstHeaderRow="1" firstDataRow="2" firstDataCol="1" rowPageCount="1" colPageCount="1"/>
  <pivotFields count="10"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axis="axisCol" showAll="0">
      <items count="6">
        <item x="0"/>
        <item x="3"/>
        <item x="1"/>
        <item x="2"/>
        <item x="4"/>
        <item t="default"/>
      </items>
    </pivotField>
    <pivotField showAll="0"/>
    <pivotField showAll="0"/>
    <pivotField dataField="1" showAll="0">
      <items count="10">
        <item x="0"/>
        <item x="6"/>
        <item x="3"/>
        <item x="5"/>
        <item x="1"/>
        <item x="2"/>
        <item x="7"/>
        <item x="4"/>
        <item x="8"/>
        <item t="default"/>
      </items>
    </pivotField>
    <pivotField showAll="0"/>
    <pivotField showAll="0">
      <items count="10">
        <item x="0"/>
        <item x="6"/>
        <item x="3"/>
        <item x="1"/>
        <item x="5"/>
        <item x="2"/>
        <item x="7"/>
        <item x="4"/>
        <item x="8"/>
        <item t="default"/>
      </items>
    </pivotField>
    <pivotField axis="axisPage" showAll="0">
      <items count="5">
        <item x="0"/>
        <item x="2"/>
        <item x="1"/>
        <item x="3"/>
        <item t="default"/>
      </items>
    </pivotField>
    <pivotField showAll="0"/>
    <pivotField showAl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pageFields count="1">
    <pageField fld="7" hier="-1"/>
  </pageFields>
  <dataFields count="1">
    <dataField name="Count of AMOUNT" fld="4" subtotal="count" baseField="0" baseItem="0"/>
  </dataFields>
  <chartFormats count="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B3:G12" totalsRowShown="0">
  <autoFilter ref="B3:G12"/>
  <tableColumns count="6">
    <tableColumn id="1" name="Date"/>
    <tableColumn id="2" name="Categories"/>
    <tableColumn id="3" name="Discription"/>
    <tableColumn id="4" name="Payment"/>
    <tableColumn id="5" name="Amount"/>
    <tableColumn id="6" name="Salar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J3:P8" totalsRowShown="0" headerRowDxfId="22">
  <autoFilter ref="J3:P8"/>
  <tableColumns count="7">
    <tableColumn id="1" name="ITEMS"/>
    <tableColumn id="2" name="ITEM NAME"/>
    <tableColumn id="3" name="CATEGORY"/>
    <tableColumn id="4" name="PRICE"/>
    <tableColumn id="5" name="QUANTITY"/>
    <tableColumn id="6" name="REVENUE">
      <calculatedColumnFormula>M4*N4</calculatedColumnFormula>
    </tableColumn>
    <tableColumn id="7" name="TOTAL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C16:L25" totalsRowShown="0">
  <autoFilter ref="C16:L25"/>
  <tableColumns count="10">
    <tableColumn id="1" name="EMP ID"/>
    <tableColumn id="2" name="NAME"/>
    <tableColumn id="3" name="REGION"/>
    <tableColumn id="4" name="CATEGORY"/>
    <tableColumn id="5" name="AMOUNT"/>
    <tableColumn id="6" name="COMM"/>
    <tableColumn id="7" name="EARNED"/>
    <tableColumn id="8" name="DEPARTMENT"/>
    <tableColumn id="9" name="SUM" dataDxfId="0"/>
    <tableColumn id="10" name="3143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workbookViewId="0">
      <selection activeCell="O30" sqref="O30"/>
    </sheetView>
  </sheetViews>
  <sheetFormatPr defaultRowHeight="15" x14ac:dyDescent="0.25"/>
  <cols>
    <col min="1" max="1" width="17.7109375" customWidth="1"/>
    <col min="2" max="2" width="16.28515625" bestFit="1" customWidth="1"/>
    <col min="3" max="3" width="8.42578125" customWidth="1"/>
    <col min="4" max="4" width="5.7109375" customWidth="1"/>
    <col min="5" max="5" width="6.85546875" customWidth="1"/>
    <col min="6" max="6" width="7.28515625" customWidth="1"/>
    <col min="7" max="7" width="11.28515625" customWidth="1"/>
    <col min="8" max="8" width="13.42578125" bestFit="1" customWidth="1"/>
    <col min="9" max="9" width="7.5703125" customWidth="1"/>
    <col min="10" max="10" width="5" customWidth="1"/>
    <col min="11" max="11" width="10.5703125" bestFit="1" customWidth="1"/>
    <col min="12" max="12" width="8.7109375" customWidth="1"/>
    <col min="13" max="13" width="11.7109375" bestFit="1" customWidth="1"/>
    <col min="15" max="15" width="12.140625" bestFit="1" customWidth="1"/>
    <col min="16" max="16" width="11.28515625" bestFit="1" customWidth="1"/>
  </cols>
  <sheetData>
    <row r="1" spans="1:7" x14ac:dyDescent="0.25">
      <c r="A1" s="3" t="s">
        <v>71</v>
      </c>
      <c r="B1" t="s">
        <v>81</v>
      </c>
    </row>
    <row r="3" spans="1:7" x14ac:dyDescent="0.25">
      <c r="A3" s="3" t="s">
        <v>82</v>
      </c>
      <c r="B3" s="3" t="s">
        <v>80</v>
      </c>
    </row>
    <row r="4" spans="1:7" x14ac:dyDescent="0.25">
      <c r="A4" s="3" t="s">
        <v>77</v>
      </c>
      <c r="B4" t="s">
        <v>49</v>
      </c>
      <c r="C4" t="s">
        <v>52</v>
      </c>
      <c r="D4" t="s">
        <v>50</v>
      </c>
      <c r="E4" t="s">
        <v>51</v>
      </c>
      <c r="F4" t="s">
        <v>78</v>
      </c>
      <c r="G4" t="s">
        <v>79</v>
      </c>
    </row>
    <row r="5" spans="1:7" x14ac:dyDescent="0.25">
      <c r="A5" s="4">
        <v>101</v>
      </c>
      <c r="B5" s="5">
        <v>1</v>
      </c>
      <c r="C5" s="5"/>
      <c r="D5" s="5"/>
      <c r="E5" s="5"/>
      <c r="F5" s="5"/>
      <c r="G5" s="5">
        <v>1</v>
      </c>
    </row>
    <row r="6" spans="1:7" x14ac:dyDescent="0.25">
      <c r="A6" s="4">
        <v>102</v>
      </c>
      <c r="B6" s="5"/>
      <c r="C6" s="5"/>
      <c r="D6" s="5">
        <v>1</v>
      </c>
      <c r="E6" s="5"/>
      <c r="F6" s="5"/>
      <c r="G6" s="5">
        <v>1</v>
      </c>
    </row>
    <row r="7" spans="1:7" x14ac:dyDescent="0.25">
      <c r="A7" s="4">
        <v>103</v>
      </c>
      <c r="B7" s="5"/>
      <c r="C7" s="5"/>
      <c r="D7" s="5"/>
      <c r="E7" s="5">
        <v>1</v>
      </c>
      <c r="F7" s="5"/>
      <c r="G7" s="5">
        <v>1</v>
      </c>
    </row>
    <row r="8" spans="1:7" x14ac:dyDescent="0.25">
      <c r="A8" s="4">
        <v>104</v>
      </c>
      <c r="B8" s="5">
        <v>1</v>
      </c>
      <c r="C8" s="5"/>
      <c r="D8" s="5"/>
      <c r="E8" s="5"/>
      <c r="F8" s="5"/>
      <c r="G8" s="5">
        <v>1</v>
      </c>
    </row>
    <row r="9" spans="1:7" x14ac:dyDescent="0.25">
      <c r="A9" s="4">
        <v>105</v>
      </c>
      <c r="B9" s="5"/>
      <c r="C9" s="5">
        <v>1</v>
      </c>
      <c r="D9" s="5"/>
      <c r="E9" s="5"/>
      <c r="F9" s="5"/>
      <c r="G9" s="5">
        <v>1</v>
      </c>
    </row>
    <row r="10" spans="1:7" x14ac:dyDescent="0.25">
      <c r="A10" s="4">
        <v>106</v>
      </c>
      <c r="B10" s="5"/>
      <c r="C10" s="5"/>
      <c r="D10" s="5">
        <v>1</v>
      </c>
      <c r="E10" s="5"/>
      <c r="F10" s="5"/>
      <c r="G10" s="5">
        <v>1</v>
      </c>
    </row>
    <row r="11" spans="1:7" x14ac:dyDescent="0.25">
      <c r="A11" s="4">
        <v>107</v>
      </c>
      <c r="B11" s="5">
        <v>1</v>
      </c>
      <c r="C11" s="5"/>
      <c r="D11" s="5"/>
      <c r="E11" s="5"/>
      <c r="F11" s="5"/>
      <c r="G11" s="5">
        <v>1</v>
      </c>
    </row>
    <row r="12" spans="1:7" x14ac:dyDescent="0.25">
      <c r="A12" s="4">
        <v>108</v>
      </c>
      <c r="B12" s="5">
        <v>1</v>
      </c>
      <c r="C12" s="5"/>
      <c r="D12" s="5"/>
      <c r="E12" s="5"/>
      <c r="F12" s="5"/>
      <c r="G12" s="5">
        <v>1</v>
      </c>
    </row>
    <row r="13" spans="1:7" x14ac:dyDescent="0.25">
      <c r="A13" s="4" t="s">
        <v>78</v>
      </c>
      <c r="B13" s="5"/>
      <c r="C13" s="5"/>
      <c r="D13" s="5"/>
      <c r="E13" s="5"/>
      <c r="F13" s="5"/>
      <c r="G13" s="5"/>
    </row>
    <row r="14" spans="1:7" x14ac:dyDescent="0.25">
      <c r="A14" s="4" t="s">
        <v>79</v>
      </c>
      <c r="B14" s="5">
        <v>4</v>
      </c>
      <c r="C14" s="5">
        <v>1</v>
      </c>
      <c r="D14" s="5">
        <v>2</v>
      </c>
      <c r="E14" s="5">
        <v>1</v>
      </c>
      <c r="F14" s="5"/>
      <c r="G14" s="5">
        <v>8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P25"/>
  <sheetViews>
    <sheetView tabSelected="1" workbookViewId="0">
      <pane xSplit="1" ySplit="36" topLeftCell="B49" activePane="bottomRight" state="frozen"/>
      <selection pane="topRight" activeCell="B1" sqref="B1"/>
      <selection pane="bottomLeft" activeCell="A37" sqref="A37"/>
      <selection pane="bottomRight" activeCell="D12" sqref="D12"/>
    </sheetView>
  </sheetViews>
  <sheetFormatPr defaultRowHeight="15" x14ac:dyDescent="0.25"/>
  <cols>
    <col min="3" max="3" width="12.5703125" customWidth="1"/>
    <col min="4" max="4" width="12.7109375" customWidth="1"/>
    <col min="5" max="5" width="11" customWidth="1"/>
    <col min="6" max="6" width="12.7109375" customWidth="1"/>
    <col min="7" max="7" width="11.5703125" customWidth="1"/>
    <col min="8" max="8" width="9.42578125" customWidth="1"/>
    <col min="9" max="9" width="10.28515625" customWidth="1"/>
    <col min="10" max="10" width="17.7109375" customWidth="1"/>
    <col min="11" max="11" width="13.85546875" customWidth="1"/>
    <col min="12" max="12" width="12.7109375" customWidth="1"/>
    <col min="14" max="14" width="12.7109375" customWidth="1"/>
    <col min="15" max="15" width="11.42578125" customWidth="1"/>
  </cols>
  <sheetData>
    <row r="3" spans="2:16" x14ac:dyDescent="0.25">
      <c r="B3" t="s">
        <v>0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J3" s="1" t="s">
        <v>25</v>
      </c>
      <c r="K3" s="1" t="s">
        <v>26</v>
      </c>
      <c r="L3" s="1" t="s">
        <v>27</v>
      </c>
      <c r="M3" s="1" t="s">
        <v>28</v>
      </c>
      <c r="N3" s="1" t="s">
        <v>29</v>
      </c>
      <c r="O3" s="1" t="s">
        <v>30</v>
      </c>
      <c r="P3" s="1" t="s">
        <v>23</v>
      </c>
    </row>
    <row r="4" spans="2:16" x14ac:dyDescent="0.25">
      <c r="B4" t="s">
        <v>6</v>
      </c>
      <c r="C4" s="2" t="s">
        <v>14</v>
      </c>
      <c r="D4" t="s">
        <v>11</v>
      </c>
      <c r="E4" t="s">
        <v>21</v>
      </c>
      <c r="F4">
        <v>3000</v>
      </c>
      <c r="G4">
        <v>20000</v>
      </c>
      <c r="J4" t="s">
        <v>31</v>
      </c>
      <c r="K4" t="s">
        <v>36</v>
      </c>
      <c r="L4" t="s">
        <v>41</v>
      </c>
      <c r="M4">
        <v>2000</v>
      </c>
      <c r="N4">
        <v>2</v>
      </c>
      <c r="O4">
        <f>M4*N4</f>
        <v>4000</v>
      </c>
      <c r="P4" s="2">
        <f>SUM(O4:O8)</f>
        <v>33000</v>
      </c>
    </row>
    <row r="5" spans="2:16" x14ac:dyDescent="0.25">
      <c r="B5" t="s">
        <v>7</v>
      </c>
      <c r="C5" t="s">
        <v>15</v>
      </c>
      <c r="D5" t="s">
        <v>12</v>
      </c>
      <c r="E5" t="s">
        <v>21</v>
      </c>
      <c r="F5">
        <v>2000</v>
      </c>
      <c r="J5" t="s">
        <v>32</v>
      </c>
      <c r="K5" t="s">
        <v>37</v>
      </c>
      <c r="L5" t="s">
        <v>41</v>
      </c>
      <c r="M5">
        <v>1000</v>
      </c>
      <c r="N5">
        <v>1</v>
      </c>
      <c r="O5">
        <f t="shared" ref="O5:O8" si="0">M5*N5</f>
        <v>1000</v>
      </c>
    </row>
    <row r="6" spans="2:16" x14ac:dyDescent="0.25">
      <c r="B6" t="s">
        <v>8</v>
      </c>
      <c r="C6" t="s">
        <v>16</v>
      </c>
      <c r="D6" t="s">
        <v>13</v>
      </c>
      <c r="E6" t="s">
        <v>21</v>
      </c>
      <c r="F6">
        <v>4000</v>
      </c>
      <c r="J6" t="s">
        <v>33</v>
      </c>
      <c r="K6" t="s">
        <v>38</v>
      </c>
      <c r="L6" t="s">
        <v>41</v>
      </c>
      <c r="M6">
        <v>3000</v>
      </c>
      <c r="N6">
        <v>3</v>
      </c>
      <c r="O6">
        <f t="shared" si="0"/>
        <v>9000</v>
      </c>
    </row>
    <row r="7" spans="2:16" x14ac:dyDescent="0.25">
      <c r="B7" t="s">
        <v>9</v>
      </c>
      <c r="C7" t="s">
        <v>17</v>
      </c>
      <c r="D7" t="s">
        <v>19</v>
      </c>
      <c r="E7" t="s">
        <v>21</v>
      </c>
      <c r="F7">
        <v>1000</v>
      </c>
      <c r="J7" t="s">
        <v>34</v>
      </c>
      <c r="K7" t="s">
        <v>39</v>
      </c>
      <c r="L7" t="s">
        <v>41</v>
      </c>
      <c r="M7">
        <v>4000</v>
      </c>
      <c r="N7">
        <v>4</v>
      </c>
      <c r="O7">
        <f t="shared" si="0"/>
        <v>16000</v>
      </c>
    </row>
    <row r="8" spans="2:16" x14ac:dyDescent="0.25">
      <c r="B8" t="s">
        <v>10</v>
      </c>
      <c r="C8" t="s">
        <v>18</v>
      </c>
      <c r="D8" t="s">
        <v>20</v>
      </c>
      <c r="E8" t="s">
        <v>21</v>
      </c>
      <c r="F8">
        <v>1500</v>
      </c>
      <c r="J8" t="s">
        <v>35</v>
      </c>
      <c r="K8" t="s">
        <v>40</v>
      </c>
      <c r="L8" t="s">
        <v>42</v>
      </c>
      <c r="M8">
        <v>1500</v>
      </c>
      <c r="N8">
        <v>2</v>
      </c>
      <c r="O8">
        <f t="shared" si="0"/>
        <v>3000</v>
      </c>
    </row>
    <row r="10" spans="2:16" x14ac:dyDescent="0.25">
      <c r="C10" t="s">
        <v>22</v>
      </c>
    </row>
    <row r="11" spans="2:16" x14ac:dyDescent="0.25">
      <c r="C11" s="1" t="s">
        <v>23</v>
      </c>
      <c r="D11">
        <f>SUM(F4:F8)</f>
        <v>11500</v>
      </c>
    </row>
    <row r="12" spans="2:16" x14ac:dyDescent="0.25">
      <c r="C12" s="1" t="s">
        <v>24</v>
      </c>
      <c r="D12">
        <f>G4-D11</f>
        <v>8500</v>
      </c>
    </row>
    <row r="16" spans="2:16" x14ac:dyDescent="0.25">
      <c r="C16" t="s">
        <v>43</v>
      </c>
      <c r="D16" t="s">
        <v>44</v>
      </c>
      <c r="E16" t="s">
        <v>45</v>
      </c>
      <c r="F16" t="s">
        <v>27</v>
      </c>
      <c r="G16" t="s">
        <v>46</v>
      </c>
      <c r="H16" t="s">
        <v>47</v>
      </c>
      <c r="I16" t="s">
        <v>48</v>
      </c>
      <c r="J16" t="s">
        <v>71</v>
      </c>
      <c r="K16" s="1" t="s">
        <v>61</v>
      </c>
      <c r="L16" t="s">
        <v>76</v>
      </c>
    </row>
    <row r="17" spans="3:12" x14ac:dyDescent="0.25">
      <c r="C17">
        <v>101</v>
      </c>
      <c r="D17" t="s">
        <v>49</v>
      </c>
      <c r="E17" t="s">
        <v>53</v>
      </c>
      <c r="F17" t="s">
        <v>56</v>
      </c>
      <c r="G17">
        <v>500</v>
      </c>
      <c r="H17">
        <v>0.2</v>
      </c>
      <c r="I17">
        <f>G17*H17</f>
        <v>100</v>
      </c>
      <c r="J17" t="s">
        <v>72</v>
      </c>
      <c r="K17" s="1" t="s">
        <v>62</v>
      </c>
      <c r="L17">
        <f>MIN(I17:I24)</f>
        <v>100</v>
      </c>
    </row>
    <row r="18" spans="3:12" x14ac:dyDescent="0.25">
      <c r="C18">
        <v>102</v>
      </c>
      <c r="D18" t="s">
        <v>50</v>
      </c>
      <c r="E18" t="s">
        <v>53</v>
      </c>
      <c r="F18" t="s">
        <v>57</v>
      </c>
      <c r="G18">
        <v>3000</v>
      </c>
      <c r="H18">
        <v>0.3</v>
      </c>
      <c r="I18">
        <f t="shared" ref="I18:I24" si="1">G18*H18</f>
        <v>900</v>
      </c>
      <c r="J18" t="s">
        <v>73</v>
      </c>
      <c r="K18" s="1" t="s">
        <v>63</v>
      </c>
      <c r="L18">
        <f>MAX(I17:I24)</f>
        <v>21000</v>
      </c>
    </row>
    <row r="19" spans="3:12" x14ac:dyDescent="0.25">
      <c r="C19">
        <v>103</v>
      </c>
      <c r="D19" t="s">
        <v>51</v>
      </c>
      <c r="E19" t="s">
        <v>53</v>
      </c>
      <c r="F19" t="s">
        <v>15</v>
      </c>
      <c r="G19">
        <v>5000</v>
      </c>
      <c r="H19">
        <v>0.4</v>
      </c>
      <c r="I19">
        <f t="shared" si="1"/>
        <v>2000</v>
      </c>
      <c r="J19" t="s">
        <v>74</v>
      </c>
      <c r="K19" s="1" t="s">
        <v>64</v>
      </c>
      <c r="L19">
        <f>COUNT(I17:I24)</f>
        <v>8</v>
      </c>
    </row>
    <row r="20" spans="3:12" x14ac:dyDescent="0.25">
      <c r="C20">
        <v>104</v>
      </c>
      <c r="D20" t="s">
        <v>49</v>
      </c>
      <c r="E20" t="s">
        <v>55</v>
      </c>
      <c r="F20" t="s">
        <v>42</v>
      </c>
      <c r="G20">
        <v>1000</v>
      </c>
      <c r="H20">
        <v>0.5</v>
      </c>
      <c r="I20">
        <f t="shared" si="1"/>
        <v>500</v>
      </c>
      <c r="J20" t="s">
        <v>72</v>
      </c>
      <c r="K20" s="1" t="s">
        <v>65</v>
      </c>
      <c r="L20">
        <f>COUNTA(I17:I25)</f>
        <v>9</v>
      </c>
    </row>
    <row r="21" spans="3:12" x14ac:dyDescent="0.25">
      <c r="C21">
        <v>105</v>
      </c>
      <c r="D21" t="s">
        <v>52</v>
      </c>
      <c r="E21" t="s">
        <v>53</v>
      </c>
      <c r="F21" t="s">
        <v>58</v>
      </c>
      <c r="G21">
        <v>35000</v>
      </c>
      <c r="H21">
        <v>0.6</v>
      </c>
      <c r="I21">
        <f t="shared" si="1"/>
        <v>21000</v>
      </c>
      <c r="J21" t="s">
        <v>73</v>
      </c>
      <c r="K21" s="1" t="s">
        <v>66</v>
      </c>
      <c r="L21">
        <f>AVERAGE(I17:I24)</f>
        <v>3928.75</v>
      </c>
    </row>
    <row r="22" spans="3:12" x14ac:dyDescent="0.25">
      <c r="C22">
        <v>106</v>
      </c>
      <c r="D22" t="s">
        <v>50</v>
      </c>
      <c r="E22" t="s">
        <v>55</v>
      </c>
      <c r="F22" t="s">
        <v>59</v>
      </c>
      <c r="G22">
        <v>1500</v>
      </c>
      <c r="H22">
        <v>0.7</v>
      </c>
      <c r="I22">
        <f t="shared" si="1"/>
        <v>1050</v>
      </c>
      <c r="J22" t="s">
        <v>74</v>
      </c>
      <c r="K22" s="1" t="s">
        <v>67</v>
      </c>
      <c r="L22" t="str">
        <f>IF(I17&gt;21000,"Bonus","No")</f>
        <v>No</v>
      </c>
    </row>
    <row r="23" spans="3:12" x14ac:dyDescent="0.25">
      <c r="C23">
        <v>107</v>
      </c>
      <c r="D23" t="s">
        <v>49</v>
      </c>
      <c r="E23" t="s">
        <v>54</v>
      </c>
      <c r="F23" t="s">
        <v>60</v>
      </c>
      <c r="G23">
        <v>600</v>
      </c>
      <c r="H23">
        <v>0.8</v>
      </c>
      <c r="I23">
        <f t="shared" si="1"/>
        <v>480</v>
      </c>
      <c r="J23" t="s">
        <v>72</v>
      </c>
      <c r="K23" s="1" t="s">
        <v>68</v>
      </c>
      <c r="L23">
        <f>COUNTIF(J17:J24,"ID")</f>
        <v>4</v>
      </c>
    </row>
    <row r="24" spans="3:12" x14ac:dyDescent="0.25">
      <c r="C24">
        <v>108</v>
      </c>
      <c r="D24" t="s">
        <v>49</v>
      </c>
      <c r="E24" t="s">
        <v>54</v>
      </c>
      <c r="F24" t="s">
        <v>13</v>
      </c>
      <c r="G24">
        <v>6000</v>
      </c>
      <c r="H24">
        <v>0.9</v>
      </c>
      <c r="I24">
        <f t="shared" si="1"/>
        <v>5400</v>
      </c>
      <c r="J24" t="s">
        <v>72</v>
      </c>
      <c r="K24" s="1" t="s">
        <v>69</v>
      </c>
      <c r="L24">
        <f>SUMIF(D17:D24,"Hooria",I17:I24)</f>
        <v>6480</v>
      </c>
    </row>
    <row r="25" spans="3:12" x14ac:dyDescent="0.25">
      <c r="I25" t="s">
        <v>75</v>
      </c>
      <c r="K25" s="1" t="s">
        <v>70</v>
      </c>
      <c r="L25">
        <f>VLOOKUP(C18,C16:J24,"5",FALSE)</f>
        <v>3000</v>
      </c>
    </row>
  </sheetData>
  <conditionalFormatting sqref="O4:O8">
    <cfRule type="containsText" dxfId="15" priority="8" operator="containsText" text="4000">
      <formula>NOT(ISERROR(SEARCH("4000",O4)))</formula>
    </cfRule>
  </conditionalFormatting>
  <conditionalFormatting sqref="O8">
    <cfRule type="containsText" dxfId="14" priority="7" operator="containsText" text="3000">
      <formula>NOT(ISERROR(SEARCH("3000",O8)))</formula>
    </cfRule>
  </conditionalFormatting>
  <conditionalFormatting sqref="O5:O6">
    <cfRule type="containsText" dxfId="13" priority="6" operator="containsText" text="1000,9000">
      <formula>NOT(ISERROR(SEARCH("1000,9000",O5)))</formula>
    </cfRule>
  </conditionalFormatting>
  <conditionalFormatting sqref="O5">
    <cfRule type="containsText" dxfId="12" priority="5" operator="containsText" text="1000">
      <formula>NOT(ISERROR(SEARCH("1000",O5)))</formula>
    </cfRule>
  </conditionalFormatting>
  <conditionalFormatting sqref="O6">
    <cfRule type="containsText" dxfId="11" priority="4" operator="containsText" text="9000">
      <formula>NOT(ISERROR(SEARCH("9000",O6)))</formula>
    </cfRule>
  </conditionalFormatting>
  <conditionalFormatting sqref="O7">
    <cfRule type="containsText" dxfId="10" priority="3" operator="containsText" text="1600">
      <formula>NOT(ISERROR(SEARCH("1600",O7)))</formula>
    </cfRule>
  </conditionalFormatting>
  <conditionalFormatting sqref="J17:J24">
    <cfRule type="containsText" dxfId="9" priority="2" operator="containsText" text="ID">
      <formula>NOT(ISERROR(SEARCH("ID",J17)))</formula>
    </cfRule>
  </conditionalFormatting>
  <conditionalFormatting sqref="E17:E24">
    <cfRule type="containsText" dxfId="1" priority="1" operator="containsText" text="North">
      <formula>NOT(ISERROR(SEARCH("North",E17)))</formula>
    </cfRule>
  </conditionalFormatting>
  <dataValidations count="1">
    <dataValidation type="list" allowBlank="1" showInputMessage="1" showErrorMessage="1" sqref="D25 E17:E24">
      <formula1>"NORTH"</formula1>
    </dataValidation>
  </dataValidations>
  <pageMargins left="0.7" right="0.7" top="0.75" bottom="0.75" header="0.3" footer="0.3"/>
  <pageSetup orientation="portrait" r:id="rId1"/>
  <tableParts count="3"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BQ1</dc:creator>
  <cp:lastModifiedBy>BQ1</cp:lastModifiedBy>
  <dcterms:created xsi:type="dcterms:W3CDTF">2026-06-20T09:15:02Z</dcterms:created>
  <dcterms:modified xsi:type="dcterms:W3CDTF">2026-06-20T10:51:42Z</dcterms:modified>
</cp:coreProperties>
</file>