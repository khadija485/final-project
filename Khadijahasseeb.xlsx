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Q1\Desktop\"/>
    </mc:Choice>
  </mc:AlternateContent>
  <bookViews>
    <workbookView xWindow="0" yWindow="0" windowWidth="28800" windowHeight="12300"/>
  </bookViews>
  <sheets>
    <sheet name="Sheet2" sheetId="2" r:id="rId1"/>
    <sheet name="Sheet1" sheetId="1" r:id="rId2"/>
  </sheet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8" i="1"/>
  <c r="I9" i="1"/>
  <c r="I7" i="1"/>
</calcChain>
</file>

<file path=xl/sharedStrings.xml><?xml version="1.0" encoding="utf-8"?>
<sst xmlns="http://schemas.openxmlformats.org/spreadsheetml/2006/main" count="35" uniqueCount="24">
  <si>
    <t>Date</t>
  </si>
  <si>
    <t>Name</t>
  </si>
  <si>
    <t>Rejion</t>
  </si>
  <si>
    <t>Departement</t>
  </si>
  <si>
    <t>Amount</t>
  </si>
  <si>
    <t>Khadija</t>
  </si>
  <si>
    <t>Hooria</t>
  </si>
  <si>
    <t>Sibra</t>
  </si>
  <si>
    <t>Ayesha</t>
  </si>
  <si>
    <t>South</t>
  </si>
  <si>
    <t>west</t>
  </si>
  <si>
    <t>south</t>
  </si>
  <si>
    <t>East</t>
  </si>
  <si>
    <t>sales</t>
  </si>
  <si>
    <t>IT</t>
  </si>
  <si>
    <t>HR</t>
  </si>
  <si>
    <t>khadija</t>
  </si>
  <si>
    <t>2</t>
  </si>
  <si>
    <t>Row Labels</t>
  </si>
  <si>
    <t>(blank)</t>
  </si>
  <si>
    <t>Grand Total</t>
  </si>
  <si>
    <t>Column Labels</t>
  </si>
  <si>
    <t>(All)</t>
  </si>
  <si>
    <t>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</si>
</sst>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[Khadijahasseeb.xlsx]Sheet2!PivotTable1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Ayesha</c:v>
                </c:pt>
                <c:pt idx="1">
                  <c:v>Hooria</c:v>
                </c:pt>
                <c:pt idx="2">
                  <c:v>Khadija</c:v>
                </c:pt>
                <c:pt idx="3">
                  <c:v>Sibra</c:v>
                </c:pt>
                <c:pt idx="4">
                  <c:v>(blank)</c:v>
                </c:pt>
              </c:strCache>
            </c:strRef>
          </c:cat>
          <c:val>
            <c:numRef>
              <c:f>Sheet2!$B$5:$B$10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A-44CC-A6EC-5FF2AB63A6F4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Ayesha</c:v>
                </c:pt>
                <c:pt idx="1">
                  <c:v>Hooria</c:v>
                </c:pt>
                <c:pt idx="2">
                  <c:v>Khadija</c:v>
                </c:pt>
                <c:pt idx="3">
                  <c:v>Sibra</c:v>
                </c:pt>
                <c:pt idx="4">
                  <c:v>(blank)</c:v>
                </c:pt>
              </c:strCache>
            </c:strRef>
          </c:cat>
          <c:val>
            <c:numRef>
              <c:f>Sheet2!$C$5:$C$10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A-44CC-A6EC-5FF2AB63A6F4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Ayesha</c:v>
                </c:pt>
                <c:pt idx="1">
                  <c:v>Hooria</c:v>
                </c:pt>
                <c:pt idx="2">
                  <c:v>Khadija</c:v>
                </c:pt>
                <c:pt idx="3">
                  <c:v>Sibra</c:v>
                </c:pt>
                <c:pt idx="4">
                  <c:v>(blank)</c:v>
                </c:pt>
              </c:strCache>
            </c:strRef>
          </c:cat>
          <c:val>
            <c:numRef>
              <c:f>Sheet2!$D$5:$D$10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7A-44CC-A6EC-5FF2AB63A6F4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Ayesha</c:v>
                </c:pt>
                <c:pt idx="1">
                  <c:v>Hooria</c:v>
                </c:pt>
                <c:pt idx="2">
                  <c:v>Khadija</c:v>
                </c:pt>
                <c:pt idx="3">
                  <c:v>Sibra</c:v>
                </c:pt>
                <c:pt idx="4">
                  <c:v>(blank)</c:v>
                </c:pt>
              </c:strCache>
            </c:strRef>
          </c:cat>
          <c:val>
            <c:numRef>
              <c:f>Sheet2!$E$5:$E$10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7A-44CC-A6EC-5FF2AB63A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691072"/>
        <c:axId val="2068685248"/>
      </c:barChart>
      <c:catAx>
        <c:axId val="206869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685248"/>
        <c:crosses val="autoZero"/>
        <c:auto val="1"/>
        <c:lblAlgn val="ctr"/>
        <c:lblOffset val="100"/>
        <c:noMultiLvlLbl val="0"/>
      </c:catAx>
      <c:valAx>
        <c:axId val="20686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69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347662</xdr:colOff>
      <xdr:row>12</xdr:row>
      <xdr:rowOff>114300</xdr:rowOff>
    </xdr:from>
    <xdr:to>
      <xdr:col>16</xdr:col>
      <xdr:colOff>42862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Q1" refreshedDate="46194.664282175923" createdVersion="6" refreshedVersion="6" minRefreshableVersion="3" recordCount="9">
  <cacheSource type="worksheet">
    <worksheetSource name="Table1"/>
  </cacheSource>
  <cacheFields count="6">
    <cacheField name="Date" numFmtId="0">
      <sharedItems containsNonDate="0" containsDate="1" containsString="0" containsBlank="1" minDate="2026-01-06T00:00:00" maxDate="2026-01-10T00:00:00"/>
    </cacheField>
    <cacheField name="Name" numFmtId="0">
      <sharedItems containsBlank="1" count="5">
        <s v="Khadija"/>
        <s v="Hooria"/>
        <s v="Sibra"/>
        <s v="Ayesha"/>
        <m/>
      </sharedItems>
    </cacheField>
    <cacheField name="Rejion" numFmtId="0">
      <sharedItems containsBlank="1" count="4">
        <s v="South"/>
        <s v="west"/>
        <s v="East"/>
        <m/>
      </sharedItems>
    </cacheField>
    <cacheField name="Departement" numFmtId="0">
      <sharedItems containsBlank="1" count="4">
        <s v="sales"/>
        <s v="IT"/>
        <s v="HR"/>
        <m/>
      </sharedItems>
    </cacheField>
    <cacheField name="Amount" numFmtId="0">
      <sharedItems containsBlank="1" containsMixedTypes="1" containsNumber="1" containsInteger="1" minValue="1500" maxValue="3700"/>
    </cacheField>
    <cacheField name="2" numFmtId="0">
      <sharedItems containsSemiMixedTypes="0" containsString="0" containsNumber="1" containsInteger="1" minValue="-4700" maxValue="11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d v="2026-01-06T00:00:00"/>
    <x v="0"/>
    <x v="0"/>
    <x v="0"/>
    <n v="3500"/>
    <n v="3"/>
  </r>
  <r>
    <d v="2026-01-07T00:00:00"/>
    <x v="1"/>
    <x v="1"/>
    <x v="1"/>
    <n v="1500"/>
    <n v="11700"/>
  </r>
  <r>
    <d v="2026-01-08T00:00:00"/>
    <x v="2"/>
    <x v="0"/>
    <x v="2"/>
    <n v="3000"/>
    <n v="1500"/>
  </r>
  <r>
    <d v="2026-01-09T00:00:00"/>
    <x v="3"/>
    <x v="2"/>
    <x v="0"/>
    <n v="3700"/>
    <n v="1500"/>
  </r>
  <r>
    <m/>
    <x v="4"/>
    <x v="3"/>
    <x v="3"/>
    <s v="khadija"/>
    <n v="3700"/>
  </r>
  <r>
    <m/>
    <x v="4"/>
    <x v="3"/>
    <x v="3"/>
    <m/>
    <n v="2925"/>
  </r>
  <r>
    <m/>
    <x v="4"/>
    <x v="3"/>
    <x v="3"/>
    <m/>
    <n v="-4700"/>
  </r>
  <r>
    <m/>
    <x v="4"/>
    <x v="3"/>
    <x v="3"/>
    <m/>
    <n v="4"/>
  </r>
  <r>
    <m/>
    <x v="4"/>
    <x v="3"/>
    <x v="3"/>
    <m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10" firstHeaderRow="1" firstDataRow="2" firstDataCol="1" rowPageCount="1" colPageCount="1"/>
  <pivotFields count="6"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axis="axisPage" showAll="0">
      <items count="5">
        <item x="2"/>
        <item x="0"/>
        <item x="1"/>
        <item x="3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2" hier="-1"/>
  </pageFields>
  <dataFields count="1">
    <dataField name="Count of Amount" fld="4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D6:I15" totalsRowShown="0">
  <autoFilter ref="D6:I15"/>
  <tableColumns count="6">
    <tableColumn id="1" name="Date"/>
    <tableColumn id="2" name="Name"/>
    <tableColumn id="3" name="Rejion"/>
    <tableColumn id="4" name="Departement"/>
    <tableColumn id="5" name="Amount"/>
    <tableColumn id="6" name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G21" sqref="G21"/>
    </sheetView>
  </sheetViews>
  <sheetFormatPr defaultRowHeight="15" x14ac:dyDescent="0.25"/>
  <cols>
    <col min="1" max="2" width="16.28515625" bestFit="1" customWidth="1"/>
    <col min="3" max="3" width="2.5703125" customWidth="1"/>
    <col min="4" max="4" width="5.42578125" customWidth="1"/>
    <col min="5" max="5" width="7.28515625" customWidth="1"/>
    <col min="6" max="6" width="11.28515625" bestFit="1" customWidth="1"/>
  </cols>
  <sheetData>
    <row r="1" spans="1:6" x14ac:dyDescent="0.25">
      <c r="A1" s="3" t="s">
        <v>2</v>
      </c>
      <c r="B1" t="s">
        <v>22</v>
      </c>
    </row>
    <row r="3" spans="1:6" x14ac:dyDescent="0.25">
      <c r="A3" s="3" t="s">
        <v>23</v>
      </c>
      <c r="B3" s="3" t="s">
        <v>21</v>
      </c>
    </row>
    <row r="4" spans="1:6" x14ac:dyDescent="0.25">
      <c r="A4" s="3" t="s">
        <v>18</v>
      </c>
      <c r="B4" t="s">
        <v>15</v>
      </c>
      <c r="C4" t="s">
        <v>14</v>
      </c>
      <c r="D4" t="s">
        <v>13</v>
      </c>
      <c r="E4" t="s">
        <v>19</v>
      </c>
      <c r="F4" t="s">
        <v>20</v>
      </c>
    </row>
    <row r="5" spans="1:6" x14ac:dyDescent="0.25">
      <c r="A5" s="4" t="s">
        <v>8</v>
      </c>
      <c r="B5" s="5"/>
      <c r="C5" s="5"/>
      <c r="D5" s="5">
        <v>1</v>
      </c>
      <c r="E5" s="5"/>
      <c r="F5" s="5">
        <v>1</v>
      </c>
    </row>
    <row r="6" spans="1:6" x14ac:dyDescent="0.25">
      <c r="A6" s="4" t="s">
        <v>6</v>
      </c>
      <c r="B6" s="5"/>
      <c r="C6" s="5">
        <v>1</v>
      </c>
      <c r="D6" s="5"/>
      <c r="E6" s="5"/>
      <c r="F6" s="5">
        <v>1</v>
      </c>
    </row>
    <row r="7" spans="1:6" x14ac:dyDescent="0.25">
      <c r="A7" s="4" t="s">
        <v>5</v>
      </c>
      <c r="B7" s="5"/>
      <c r="C7" s="5"/>
      <c r="D7" s="5">
        <v>1</v>
      </c>
      <c r="E7" s="5"/>
      <c r="F7" s="5">
        <v>1</v>
      </c>
    </row>
    <row r="8" spans="1:6" x14ac:dyDescent="0.25">
      <c r="A8" s="4" t="s">
        <v>7</v>
      </c>
      <c r="B8" s="5">
        <v>1</v>
      </c>
      <c r="C8" s="5"/>
      <c r="D8" s="5"/>
      <c r="E8" s="5"/>
      <c r="F8" s="5">
        <v>1</v>
      </c>
    </row>
    <row r="9" spans="1:6" x14ac:dyDescent="0.25">
      <c r="A9" s="4" t="s">
        <v>19</v>
      </c>
      <c r="B9" s="5"/>
      <c r="C9" s="5"/>
      <c r="D9" s="5"/>
      <c r="E9" s="5">
        <v>1</v>
      </c>
      <c r="F9" s="5">
        <v>1</v>
      </c>
    </row>
    <row r="10" spans="1:6" x14ac:dyDescent="0.25">
      <c r="A10" s="4" t="s">
        <v>20</v>
      </c>
      <c r="B10" s="5">
        <v>1</v>
      </c>
      <c r="C10" s="5">
        <v>1</v>
      </c>
      <c r="D10" s="5">
        <v>2</v>
      </c>
      <c r="E10" s="5">
        <v>1</v>
      </c>
      <c r="F10" s="5">
        <v>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I15"/>
  <sheetViews>
    <sheetView workbookViewId="0">
      <pane xSplit="8" ySplit="11" topLeftCell="I12" activePane="bottomRight" state="frozen"/>
      <selection pane="topRight" activeCell="I1" sqref="I1"/>
      <selection pane="bottomLeft" activeCell="A12" sqref="A12"/>
      <selection pane="bottomRight" activeCell="D6" sqref="D6:I15"/>
    </sheetView>
  </sheetViews>
  <sheetFormatPr defaultRowHeight="15" x14ac:dyDescent="0.25"/>
  <cols>
    <col min="7" max="7" width="15" customWidth="1"/>
    <col min="8" max="8" width="10.28515625" customWidth="1"/>
    <col min="9" max="9" width="15.140625" customWidth="1"/>
  </cols>
  <sheetData>
    <row r="6" spans="4:9" x14ac:dyDescent="0.25">
      <c r="D6" t="s">
        <v>0</v>
      </c>
      <c r="E6" t="s">
        <v>1</v>
      </c>
      <c r="F6" t="s">
        <v>2</v>
      </c>
      <c r="G6" t="s">
        <v>3</v>
      </c>
      <c r="H6" t="s">
        <v>4</v>
      </c>
      <c r="I6" s="2" t="s">
        <v>17</v>
      </c>
    </row>
    <row r="7" spans="4:9" x14ac:dyDescent="0.25">
      <c r="D7" s="1">
        <v>46028</v>
      </c>
      <c r="E7" t="s">
        <v>5</v>
      </c>
      <c r="F7" t="s">
        <v>9</v>
      </c>
      <c r="G7" t="s">
        <v>13</v>
      </c>
      <c r="H7">
        <v>3500</v>
      </c>
      <c r="I7">
        <f>COUNTIF(H7:H10,"&lt;=3500")</f>
        <v>3</v>
      </c>
    </row>
    <row r="8" spans="4:9" x14ac:dyDescent="0.25">
      <c r="D8" s="1">
        <v>46029</v>
      </c>
      <c r="E8" t="s">
        <v>6</v>
      </c>
      <c r="F8" t="s">
        <v>10</v>
      </c>
      <c r="G8" t="s">
        <v>14</v>
      </c>
      <c r="H8">
        <v>1500</v>
      </c>
      <c r="I8" s="2">
        <f>SUM(H7:H10)</f>
        <v>11700</v>
      </c>
    </row>
    <row r="9" spans="4:9" x14ac:dyDescent="0.25">
      <c r="D9" s="1">
        <v>46030</v>
      </c>
      <c r="E9" t="s">
        <v>7</v>
      </c>
      <c r="F9" t="s">
        <v>11</v>
      </c>
      <c r="G9" t="s">
        <v>15</v>
      </c>
      <c r="H9">
        <v>3000</v>
      </c>
      <c r="I9">
        <f>SUMIF(G7:G10,"IT",H7:H10)</f>
        <v>1500</v>
      </c>
    </row>
    <row r="10" spans="4:9" x14ac:dyDescent="0.25">
      <c r="D10" s="1">
        <v>46031</v>
      </c>
      <c r="E10" t="s">
        <v>8</v>
      </c>
      <c r="F10" t="s">
        <v>12</v>
      </c>
      <c r="G10" t="s">
        <v>13</v>
      </c>
      <c r="H10">
        <v>3700</v>
      </c>
      <c r="I10">
        <f>MIN(H7:H10)</f>
        <v>1500</v>
      </c>
    </row>
    <row r="11" spans="4:9" x14ac:dyDescent="0.25">
      <c r="D11" s="1"/>
      <c r="H11" t="s">
        <v>16</v>
      </c>
      <c r="I11">
        <f>MAX(H7:H10)</f>
        <v>3700</v>
      </c>
    </row>
    <row r="12" spans="4:9" x14ac:dyDescent="0.25">
      <c r="I12">
        <f>AVERAGE(H7:H10)</f>
        <v>2925</v>
      </c>
    </row>
    <row r="13" spans="4:9" x14ac:dyDescent="0.25">
      <c r="I13">
        <f>H7-H8-H10-H9</f>
        <v>-4700</v>
      </c>
    </row>
    <row r="14" spans="4:9" x14ac:dyDescent="0.25">
      <c r="I14">
        <f>COUNT(H7:H10)</f>
        <v>4</v>
      </c>
    </row>
    <row r="15" spans="4:9" x14ac:dyDescent="0.25">
      <c r="I15">
        <f>COUNTA(H7:H11)</f>
        <v>5</v>
      </c>
    </row>
  </sheetData>
  <conditionalFormatting sqref="L18">
    <cfRule type="containsText" dxfId="4" priority="3" operator="containsText" text="11700">
      <formula>NOT(ISERROR(SEARCH("11700",L18)))</formula>
    </cfRule>
  </conditionalFormatting>
  <conditionalFormatting sqref="I7:I16">
    <cfRule type="containsText" dxfId="3" priority="2" operator="containsText" text="11700">
      <formula>NOT(ISERROR(SEARCH("11700",I7)))</formula>
    </cfRule>
  </conditionalFormatting>
  <conditionalFormatting sqref="I9:I10">
    <cfRule type="containsText" dxfId="0" priority="1" operator="containsText" text="1500">
      <formula>NOT(ISERROR(SEARCH("1500",I9)))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BQ1</dc:creator>
  <cp:lastModifiedBy>BQ1</cp:lastModifiedBy>
  <dcterms:created xsi:type="dcterms:W3CDTF">2026-06-21T10:05:46Z</dcterms:created>
  <dcterms:modified xsi:type="dcterms:W3CDTF">2026-06-21T10:57:34Z</dcterms:modified>
</cp:coreProperties>
</file>