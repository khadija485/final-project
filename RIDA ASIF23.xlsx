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Q1\Desktop\"/>
    </mc:Choice>
  </mc:AlternateContent>
  <bookViews>
    <workbookView xWindow="0" yWindow="0" windowWidth="28800" windowHeight="12000"/>
  </bookViews>
  <sheets>
    <sheet name="Sheet1" sheetId="1" r:id="rId1"/>
  </sheets>
  <definedNames>
    <definedName name="_xlnm._FilterDatabase" localSheetId="0" hidden="1">Sheet1!$C$3:$K$3</definedName>
  </definedNames>
  <calcPr calcId="162913"/>
  <pivotCaches>
    <pivotCache cacheId="7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7" i="1" l="1"/>
  <c r="L25" i="1"/>
  <c r="L24" i="1"/>
  <c r="L23" i="1"/>
  <c r="L22" i="1"/>
  <c r="L21" i="1"/>
  <c r="L20" i="1"/>
  <c r="L19" i="1"/>
  <c r="L18" i="1"/>
  <c r="G19" i="1"/>
  <c r="G22" i="1"/>
  <c r="G18" i="1"/>
  <c r="G20" i="1"/>
  <c r="G21" i="1"/>
  <c r="G17" i="1"/>
  <c r="E22" i="1" l="1"/>
  <c r="E18" i="1"/>
  <c r="E19" i="1"/>
  <c r="E20" i="1"/>
  <c r="E21" i="1"/>
  <c r="E17" i="1"/>
  <c r="K6" i="1"/>
  <c r="K7" i="1"/>
  <c r="K8" i="1"/>
  <c r="K9" i="1"/>
  <c r="K10" i="1"/>
  <c r="K5" i="1"/>
  <c r="J6" i="1"/>
  <c r="F18" i="1" s="1"/>
  <c r="J7" i="1"/>
  <c r="F19" i="1" s="1"/>
  <c r="J8" i="1"/>
  <c r="F20" i="1" s="1"/>
  <c r="J9" i="1"/>
  <c r="F21" i="1" s="1"/>
  <c r="J10" i="1"/>
  <c r="J5" i="1"/>
  <c r="F17" i="1" l="1"/>
</calcChain>
</file>

<file path=xl/sharedStrings.xml><?xml version="1.0" encoding="utf-8"?>
<sst xmlns="http://schemas.openxmlformats.org/spreadsheetml/2006/main" count="58" uniqueCount="41">
  <si>
    <t>NAME</t>
  </si>
  <si>
    <t>DATE</t>
  </si>
  <si>
    <t xml:space="preserve">RIDA </t>
  </si>
  <si>
    <t>YUSRA</t>
  </si>
  <si>
    <t>KASHIF</t>
  </si>
  <si>
    <t>KAMIL</t>
  </si>
  <si>
    <t>KASHAN</t>
  </si>
  <si>
    <t>ID</t>
  </si>
  <si>
    <t>PRODUCT</t>
  </si>
  <si>
    <t>RIGON</t>
  </si>
  <si>
    <t>SOFTWARE</t>
  </si>
  <si>
    <t>HARDWARE</t>
  </si>
  <si>
    <t>NORTH</t>
  </si>
  <si>
    <t>SOUTH</t>
  </si>
  <si>
    <t>EAST</t>
  </si>
  <si>
    <t>WAST</t>
  </si>
  <si>
    <t>AMOUNT</t>
  </si>
  <si>
    <t>COMM%</t>
  </si>
  <si>
    <t>EARNED</t>
  </si>
  <si>
    <t>IF</t>
  </si>
  <si>
    <t>SUMMARY</t>
  </si>
  <si>
    <t>(CONDITION CALES</t>
  </si>
  <si>
    <t>SALESPERSON</t>
  </si>
  <si>
    <t>TOTAL SALES(SUMIF)</t>
  </si>
  <si>
    <t>TOTAL COMM(SUMIF)</t>
  </si>
  <si>
    <t>TOTAL  COUNT(COUNTIF)</t>
  </si>
  <si>
    <t>FORMULAS</t>
  </si>
  <si>
    <t>SUM</t>
  </si>
  <si>
    <t>AVERAGE</t>
  </si>
  <si>
    <t>MIN</t>
  </si>
  <si>
    <t>MAX</t>
  </si>
  <si>
    <t>COUNT</t>
  </si>
  <si>
    <t>VLOOKUP</t>
  </si>
  <si>
    <t>COUNTIF</t>
  </si>
  <si>
    <t>SUMIF</t>
  </si>
  <si>
    <t>DATA</t>
  </si>
  <si>
    <t>(All)</t>
  </si>
  <si>
    <t>Column Labels</t>
  </si>
  <si>
    <t>(blank)</t>
  </si>
  <si>
    <t>Grand Total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</si>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</sst>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Berlin Sans FB Demi"/>
      <family val="2"/>
    </font>
    <font>
      <sz val="11"/>
      <color theme="5" tint="-0.249977111117893"/>
      <name val="Calibri"/>
      <family val="2"/>
      <scheme val="minor"/>
    </font>
    <font>
      <sz val="11"/>
      <color theme="5" tint="-0.249977111117893"/>
      <name val="Berlin Sans FB Demi"/>
      <family val="2"/>
    </font>
    <font>
      <sz val="11"/>
      <color theme="1"/>
      <name val="Bahnschrift SemiBold SemiConden"/>
      <family val="2"/>
    </font>
    <font>
      <sz val="16"/>
      <color theme="8" tint="-0.249977111117893"/>
      <name val="Wide Latin"/>
      <family val="1"/>
    </font>
    <font>
      <sz val="12"/>
      <color theme="5" tint="-0.249977111117893"/>
      <name val="Bahnschrift"/>
      <family val="2"/>
    </font>
    <font>
      <sz val="11"/>
      <color theme="5" tint="-0.249977111117893"/>
      <name val="Bahnschrift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4" xfId="0" applyBorder="1"/>
    <xf numFmtId="0" fontId="0" fillId="0" borderId="0" xfId="0" applyBorder="1"/>
    <xf numFmtId="0" fontId="0" fillId="0" borderId="5" xfId="0" applyBorder="1"/>
    <xf numFmtId="14" fontId="0" fillId="0" borderId="4" xfId="0" applyNumberFormat="1" applyBorder="1"/>
    <xf numFmtId="14" fontId="0" fillId="0" borderId="6" xfId="0" applyNumberFormat="1" applyBorder="1"/>
    <xf numFmtId="0" fontId="0" fillId="0" borderId="7" xfId="0" applyBorder="1"/>
    <xf numFmtId="0" fontId="0" fillId="0" borderId="8" xfId="0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0" xfId="0" applyFont="1" applyBorder="1"/>
    <xf numFmtId="0" fontId="2" fillId="0" borderId="7" xfId="0" applyFont="1" applyBorder="1"/>
    <xf numFmtId="0" fontId="3" fillId="0" borderId="0" xfId="0" applyFont="1" applyFill="1" applyBorder="1" applyAlignment="1">
      <alignment vertical="top"/>
    </xf>
    <xf numFmtId="0" fontId="4" fillId="0" borderId="1" xfId="0" applyFont="1" applyBorder="1"/>
    <xf numFmtId="0" fontId="4" fillId="0" borderId="2" xfId="0" applyFont="1" applyBorder="1"/>
    <xf numFmtId="0" fontId="4" fillId="0" borderId="2" xfId="0" applyFont="1" applyBorder="1" applyAlignment="1"/>
    <xf numFmtId="0" fontId="4" fillId="0" borderId="3" xfId="0" applyFont="1" applyBorder="1"/>
    <xf numFmtId="0" fontId="2" fillId="0" borderId="4" xfId="0" applyFont="1" applyBorder="1"/>
    <xf numFmtId="0" fontId="2" fillId="0" borderId="6" xfId="0" applyFont="1" applyBorder="1"/>
    <xf numFmtId="0" fontId="3" fillId="0" borderId="9" xfId="0" applyFont="1" applyBorder="1"/>
    <xf numFmtId="0" fontId="1" fillId="0" borderId="10" xfId="0" applyFont="1" applyBorder="1"/>
    <xf numFmtId="0" fontId="3" fillId="0" borderId="11" xfId="0" applyFont="1" applyFill="1" applyBorder="1" applyAlignment="1">
      <alignment vertical="top"/>
    </xf>
    <xf numFmtId="0" fontId="5" fillId="3" borderId="0" xfId="0" applyFont="1" applyFill="1" applyAlignment="1">
      <alignment horizontal="center" vertical="center"/>
    </xf>
    <xf numFmtId="0" fontId="6" fillId="0" borderId="1" xfId="0" applyFont="1" applyBorder="1"/>
    <xf numFmtId="0" fontId="2" fillId="0" borderId="3" xfId="0" applyFont="1" applyBorder="1" applyAlignment="1">
      <alignment horizontal="left" indent="1"/>
    </xf>
    <xf numFmtId="0" fontId="7" fillId="0" borderId="4" xfId="0" applyFont="1" applyBorder="1"/>
    <xf numFmtId="0" fontId="2" fillId="0" borderId="5" xfId="0" applyFont="1" applyBorder="1" applyAlignment="1">
      <alignment horizontal="left" indent="1"/>
    </xf>
    <xf numFmtId="0" fontId="7" fillId="0" borderId="6" xfId="0" applyFont="1" applyBorder="1"/>
    <xf numFmtId="0" fontId="2" fillId="0" borderId="8" xfId="0" applyFont="1" applyBorder="1" applyAlignment="1">
      <alignment horizontal="left" indent="1"/>
    </xf>
    <xf numFmtId="0" fontId="7" fillId="0" borderId="6" xfId="0" applyFont="1" applyFill="1" applyBorder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[RIDA ASIF23.xlsx]Sheet1!PivotTable2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Sheet1!$O$18:$O$19</c:f>
              <c:strCache>
                <c:ptCount val="1"/>
                <c:pt idx="0">
                  <c:v>30000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Sheet1!$N$20:$N$27</c:f>
              <c:strCache>
                <c:ptCount val="7"/>
                <c:pt idx="0">
                  <c:v>101</c:v>
                </c:pt>
                <c:pt idx="1">
                  <c:v>102</c:v>
                </c:pt>
                <c:pt idx="2">
                  <c:v>103</c:v>
                </c:pt>
                <c:pt idx="3">
                  <c:v>104</c:v>
                </c:pt>
                <c:pt idx="4">
                  <c:v>105</c:v>
                </c:pt>
                <c:pt idx="5">
                  <c:v>106</c:v>
                </c:pt>
                <c:pt idx="6">
                  <c:v>(blank)</c:v>
                </c:pt>
              </c:strCache>
            </c:strRef>
          </c:cat>
          <c:val>
            <c:numRef>
              <c:f>Sheet1!$O$20:$O$27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6AA9-4F85-A726-52B44CAB8DD1}"/>
            </c:ext>
          </c:extLst>
        </c:ser>
        <c:ser>
          <c:idx val="1"/>
          <c:order val="1"/>
          <c:tx>
            <c:strRef>
              <c:f>Sheet1!$P$18:$P$19</c:f>
              <c:strCache>
                <c:ptCount val="1"/>
                <c:pt idx="0">
                  <c:v>35000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Sheet1!$N$20:$N$27</c:f>
              <c:strCache>
                <c:ptCount val="7"/>
                <c:pt idx="0">
                  <c:v>101</c:v>
                </c:pt>
                <c:pt idx="1">
                  <c:v>102</c:v>
                </c:pt>
                <c:pt idx="2">
                  <c:v>103</c:v>
                </c:pt>
                <c:pt idx="3">
                  <c:v>104</c:v>
                </c:pt>
                <c:pt idx="4">
                  <c:v>105</c:v>
                </c:pt>
                <c:pt idx="5">
                  <c:v>106</c:v>
                </c:pt>
                <c:pt idx="6">
                  <c:v>(blank)</c:v>
                </c:pt>
              </c:strCache>
            </c:strRef>
          </c:cat>
          <c:val>
            <c:numRef>
              <c:f>Sheet1!$P$20:$P$27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1-6AA9-4F85-A726-52B44CAB8DD1}"/>
            </c:ext>
          </c:extLst>
        </c:ser>
        <c:ser>
          <c:idx val="2"/>
          <c:order val="2"/>
          <c:tx>
            <c:strRef>
              <c:f>Sheet1!$Q$18:$Q$19</c:f>
              <c:strCache>
                <c:ptCount val="1"/>
                <c:pt idx="0">
                  <c:v>40000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Sheet1!$N$20:$N$27</c:f>
              <c:strCache>
                <c:ptCount val="7"/>
                <c:pt idx="0">
                  <c:v>101</c:v>
                </c:pt>
                <c:pt idx="1">
                  <c:v>102</c:v>
                </c:pt>
                <c:pt idx="2">
                  <c:v>103</c:v>
                </c:pt>
                <c:pt idx="3">
                  <c:v>104</c:v>
                </c:pt>
                <c:pt idx="4">
                  <c:v>105</c:v>
                </c:pt>
                <c:pt idx="5">
                  <c:v>106</c:v>
                </c:pt>
                <c:pt idx="6">
                  <c:v>(blank)</c:v>
                </c:pt>
              </c:strCache>
            </c:strRef>
          </c:cat>
          <c:val>
            <c:numRef>
              <c:f>Sheet1!$Q$20:$Q$27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2-6AA9-4F85-A726-52B44CAB8DD1}"/>
            </c:ext>
          </c:extLst>
        </c:ser>
        <c:ser>
          <c:idx val="3"/>
          <c:order val="3"/>
          <c:tx>
            <c:strRef>
              <c:f>Sheet1!$R$18:$R$19</c:f>
              <c:strCache>
                <c:ptCount val="1"/>
                <c:pt idx="0">
                  <c:v>50000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Sheet1!$N$20:$N$27</c:f>
              <c:strCache>
                <c:ptCount val="7"/>
                <c:pt idx="0">
                  <c:v>101</c:v>
                </c:pt>
                <c:pt idx="1">
                  <c:v>102</c:v>
                </c:pt>
                <c:pt idx="2">
                  <c:v>103</c:v>
                </c:pt>
                <c:pt idx="3">
                  <c:v>104</c:v>
                </c:pt>
                <c:pt idx="4">
                  <c:v>105</c:v>
                </c:pt>
                <c:pt idx="5">
                  <c:v>106</c:v>
                </c:pt>
                <c:pt idx="6">
                  <c:v>(blank)</c:v>
                </c:pt>
              </c:strCache>
            </c:strRef>
          </c:cat>
          <c:val>
            <c:numRef>
              <c:f>Sheet1!$R$20:$R$27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3-6AA9-4F85-A726-52B44CAB8DD1}"/>
            </c:ext>
          </c:extLst>
        </c:ser>
        <c:ser>
          <c:idx val="4"/>
          <c:order val="4"/>
          <c:tx>
            <c:strRef>
              <c:f>Sheet1!$S$18:$S$19</c:f>
              <c:strCache>
                <c:ptCount val="1"/>
                <c:pt idx="0">
                  <c:v>55000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Sheet1!$N$20:$N$27</c:f>
              <c:strCache>
                <c:ptCount val="7"/>
                <c:pt idx="0">
                  <c:v>101</c:v>
                </c:pt>
                <c:pt idx="1">
                  <c:v>102</c:v>
                </c:pt>
                <c:pt idx="2">
                  <c:v>103</c:v>
                </c:pt>
                <c:pt idx="3">
                  <c:v>104</c:v>
                </c:pt>
                <c:pt idx="4">
                  <c:v>105</c:v>
                </c:pt>
                <c:pt idx="5">
                  <c:v>106</c:v>
                </c:pt>
                <c:pt idx="6">
                  <c:v>(blank)</c:v>
                </c:pt>
              </c:strCache>
            </c:strRef>
          </c:cat>
          <c:val>
            <c:numRef>
              <c:f>Sheet1!$S$20:$S$27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4-6AA9-4F85-A726-52B44CAB8DD1}"/>
            </c:ext>
          </c:extLst>
        </c:ser>
        <c:ser>
          <c:idx val="5"/>
          <c:order val="5"/>
          <c:tx>
            <c:strRef>
              <c:f>Sheet1!$T$18:$T$19</c:f>
              <c:strCache>
                <c:ptCount val="1"/>
                <c:pt idx="0">
                  <c:v>60000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Sheet1!$N$20:$N$27</c:f>
              <c:strCache>
                <c:ptCount val="7"/>
                <c:pt idx="0">
                  <c:v>101</c:v>
                </c:pt>
                <c:pt idx="1">
                  <c:v>102</c:v>
                </c:pt>
                <c:pt idx="2">
                  <c:v>103</c:v>
                </c:pt>
                <c:pt idx="3">
                  <c:v>104</c:v>
                </c:pt>
                <c:pt idx="4">
                  <c:v>105</c:v>
                </c:pt>
                <c:pt idx="5">
                  <c:v>106</c:v>
                </c:pt>
                <c:pt idx="6">
                  <c:v>(blank)</c:v>
                </c:pt>
              </c:strCache>
            </c:strRef>
          </c:cat>
          <c:val>
            <c:numRef>
              <c:f>Sheet1!$T$20:$T$27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5-6AA9-4F85-A726-52B44CAB8DD1}"/>
            </c:ext>
          </c:extLst>
        </c:ser>
        <c:ser>
          <c:idx val="6"/>
          <c:order val="6"/>
          <c:tx>
            <c:strRef>
              <c:f>Sheet1!$U$18:$U$19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Sheet1!$N$20:$N$27</c:f>
              <c:strCache>
                <c:ptCount val="7"/>
                <c:pt idx="0">
                  <c:v>101</c:v>
                </c:pt>
                <c:pt idx="1">
                  <c:v>102</c:v>
                </c:pt>
                <c:pt idx="2">
                  <c:v>103</c:v>
                </c:pt>
                <c:pt idx="3">
                  <c:v>104</c:v>
                </c:pt>
                <c:pt idx="4">
                  <c:v>105</c:v>
                </c:pt>
                <c:pt idx="5">
                  <c:v>106</c:v>
                </c:pt>
                <c:pt idx="6">
                  <c:v>(blank)</c:v>
                </c:pt>
              </c:strCache>
            </c:strRef>
          </c:cat>
          <c:val>
            <c:numRef>
              <c:f>Sheet1!$U$20:$U$27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6-6AA9-4F85-A726-52B44CAB8DD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86106527"/>
        <c:axId val="2086106943"/>
      </c:barChart>
      <c:catAx>
        <c:axId val="20861065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106943"/>
        <c:crosses val="autoZero"/>
        <c:auto val="1"/>
        <c:lblAlgn val="ctr"/>
        <c:lblOffset val="100"/>
        <c:noMultiLvlLbl val="0"/>
      </c:catAx>
      <c:valAx>
        <c:axId val="2086106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10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928687</xdr:colOff>
      <xdr:row>23</xdr:row>
      <xdr:rowOff>47625</xdr:rowOff>
    </xdr:from>
    <xdr:to>
      <xdr:col>9</xdr:col>
      <xdr:colOff>80962</xdr:colOff>
      <xdr:row>36</xdr:row>
      <xdr:rowOff>52387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Q1" refreshedDate="46194.62718935185" createdVersion="6" refreshedVersion="6" minRefreshableVersion="3" recordCount="7">
  <cacheSource type="worksheet">
    <worksheetSource ref="C3:K10" sheet="Sheet1"/>
  </cacheSource>
  <cacheFields count="9">
    <cacheField name="DATE" numFmtId="0">
      <sharedItems containsNonDate="0" containsDate="1" containsString="0" containsBlank="1" minDate="2026-02-01T00:00:00" maxDate="2026-02-07T00:00:00" count="7">
        <m/>
        <d v="2026-02-01T00:00:00"/>
        <d v="2026-02-02T00:00:00"/>
        <d v="2026-02-03T00:00:00"/>
        <d v="2026-02-04T00:00:00"/>
        <d v="2026-02-05T00:00:00"/>
        <d v="2026-02-06T00:00:00"/>
      </sharedItems>
    </cacheField>
    <cacheField name="ID" numFmtId="0">
      <sharedItems containsString="0" containsBlank="1" containsNumber="1" containsInteger="1" minValue="101" maxValue="106" count="7">
        <m/>
        <n v="101"/>
        <n v="102"/>
        <n v="103"/>
        <n v="104"/>
        <n v="105"/>
        <n v="106"/>
      </sharedItems>
    </cacheField>
    <cacheField name="NAME" numFmtId="0">
      <sharedItems containsBlank="1" count="6">
        <m/>
        <s v="RIDA "/>
        <s v="YUSRA"/>
        <s v="KASHIF"/>
        <s v="KAMIL"/>
        <s v="KASHAN"/>
      </sharedItems>
    </cacheField>
    <cacheField name="RIGON" numFmtId="0">
      <sharedItems containsBlank="1"/>
    </cacheField>
    <cacheField name="PRODUCT" numFmtId="0">
      <sharedItems containsBlank="1"/>
    </cacheField>
    <cacheField name="AMOUNT" numFmtId="0">
      <sharedItems containsString="0" containsBlank="1" containsNumber="1" containsInteger="1" minValue="30000" maxValue="60000" count="7">
        <m/>
        <n v="50000"/>
        <n v="55000"/>
        <n v="40000"/>
        <n v="30000"/>
        <n v="35000"/>
        <n v="60000"/>
      </sharedItems>
    </cacheField>
    <cacheField name="COMM%" numFmtId="0">
      <sharedItems containsString="0" containsBlank="1" containsNumber="1" minValue="0.02" maxValue="0.12"/>
    </cacheField>
    <cacheField name="EARNED" numFmtId="0">
      <sharedItems containsString="0" containsBlank="1" containsNumber="1" containsInteger="1" minValue="1000" maxValue="4200"/>
    </cacheField>
    <cacheField name="IF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">
  <r>
    <x v="0"/>
    <x v="0"/>
    <x v="0"/>
    <m/>
    <m/>
    <x v="0"/>
    <m/>
    <m/>
    <m/>
  </r>
  <r>
    <x v="1"/>
    <x v="1"/>
    <x v="1"/>
    <s v="NORTH"/>
    <s v="HARDWARE"/>
    <x v="1"/>
    <n v="0.02"/>
    <n v="1000"/>
    <s v="ELITE"/>
  </r>
  <r>
    <x v="2"/>
    <x v="2"/>
    <x v="2"/>
    <s v="SOUTH"/>
    <s v="SOFTWARE"/>
    <x v="2"/>
    <n v="0.05"/>
    <n v="2750"/>
    <s v="ELITE"/>
  </r>
  <r>
    <x v="3"/>
    <x v="3"/>
    <x v="3"/>
    <s v="NORTH"/>
    <s v="HARDWARE"/>
    <x v="3"/>
    <n v="0.04"/>
    <n v="1600"/>
    <s v="REGULAR"/>
  </r>
  <r>
    <x v="4"/>
    <x v="4"/>
    <x v="4"/>
    <s v="EAST"/>
    <s v="SOFTWARE"/>
    <x v="4"/>
    <n v="0.08"/>
    <n v="2400"/>
    <s v="REGULAR"/>
  </r>
  <r>
    <x v="5"/>
    <x v="5"/>
    <x v="5"/>
    <s v="WAST"/>
    <s v="HARDWARE"/>
    <x v="5"/>
    <n v="0.12"/>
    <n v="4200"/>
    <s v="REGULAR"/>
  </r>
  <r>
    <x v="6"/>
    <x v="6"/>
    <x v="1"/>
    <s v="SOUTH"/>
    <s v="SOFTWARE"/>
    <x v="6"/>
    <n v="0.06"/>
    <n v="3600"/>
    <s v="ELIT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N18:V27" firstHeaderRow="1" firstDataRow="2" firstDataCol="1" rowPageCount="1" colPageCount="1"/>
  <pivotFields count="9">
    <pivotField showAll="0">
      <items count="8">
        <item sd="0" x="1"/>
        <item x="2"/>
        <item x="3"/>
        <item x="4"/>
        <item x="5"/>
        <item x="6"/>
        <item x="0"/>
        <item t="default"/>
      </items>
    </pivotField>
    <pivotField axis="axisRow" showAll="0">
      <items count="8">
        <item x="1"/>
        <item x="2"/>
        <item x="3"/>
        <item x="4"/>
        <item x="5"/>
        <item x="6"/>
        <item x="0"/>
        <item t="default"/>
      </items>
    </pivotField>
    <pivotField axis="axisPage" showAll="0">
      <items count="7">
        <item x="4"/>
        <item x="5"/>
        <item x="3"/>
        <item x="1"/>
        <item x="2"/>
        <item x="0"/>
        <item t="default"/>
      </items>
    </pivotField>
    <pivotField showAll="0"/>
    <pivotField showAll="0"/>
    <pivotField axis="axisCol" showAll="0">
      <items count="8">
        <item x="4"/>
        <item x="5"/>
        <item x="3"/>
        <item x="1"/>
        <item x="2"/>
        <item x="6"/>
        <item x="0"/>
        <item t="default"/>
      </items>
    </pivotField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5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2" hier="-1"/>
  </pageFields>
  <chartFormats count="7">
    <chartFormat chart="6" format="0" series="1">
      <pivotArea type="data" outline="0" fieldPosition="0">
        <references count="1">
          <reference field="5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5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5" count="1" selected="0">
            <x v="2"/>
          </reference>
        </references>
      </pivotArea>
    </chartFormat>
    <chartFormat chart="6" format="3" series="1">
      <pivotArea type="data" outline="0" fieldPosition="0">
        <references count="1">
          <reference field="5" count="1" selected="0">
            <x v="3"/>
          </reference>
        </references>
      </pivotArea>
    </chartFormat>
    <chartFormat chart="6" format="4" series="1">
      <pivotArea type="data" outline="0" fieldPosition="0">
        <references count="1">
          <reference field="5" count="1" selected="0">
            <x v="4"/>
          </reference>
        </references>
      </pivotArea>
    </chartFormat>
    <chartFormat chart="6" format="5" series="1">
      <pivotArea type="data" outline="0" fieldPosition="0">
        <references count="1">
          <reference field="5" count="1" selected="0">
            <x v="5"/>
          </reference>
        </references>
      </pivotArea>
    </chartFormat>
    <chartFormat chart="6" format="6" series="1">
      <pivotArea type="data" outline="0" fieldPosition="0">
        <references count="1">
          <reference field="5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V27"/>
  <sheetViews>
    <sheetView tabSelected="1" workbookViewId="0">
      <pane ySplit="3" topLeftCell="A4" activePane="bottomLeft" state="frozen"/>
      <selection pane="bottomLeft" activeCell="N29" sqref="N29"/>
    </sheetView>
  </sheetViews>
  <sheetFormatPr defaultRowHeight="15" x14ac:dyDescent="0.25"/>
  <cols>
    <col min="3" max="3" width="13" customWidth="1"/>
    <col min="5" max="5" width="19.85546875" customWidth="1"/>
    <col min="6" max="6" width="19.7109375" customWidth="1"/>
    <col min="7" max="7" width="22.28515625" customWidth="1"/>
    <col min="8" max="8" width="10.28515625" customWidth="1"/>
    <col min="11" max="11" width="12.7109375" customWidth="1"/>
    <col min="14" max="14" width="13.140625" customWidth="1"/>
    <col min="15" max="15" width="16.28515625" customWidth="1"/>
    <col min="16" max="20" width="6" customWidth="1"/>
    <col min="21" max="21" width="7.28515625" customWidth="1"/>
    <col min="22" max="22" width="11.28515625" customWidth="1"/>
    <col min="23" max="23" width="13.7109375" bestFit="1" customWidth="1"/>
    <col min="24" max="24" width="10.5703125" customWidth="1"/>
    <col min="25" max="25" width="13.7109375" bestFit="1" customWidth="1"/>
    <col min="26" max="26" width="9.140625" customWidth="1"/>
    <col min="27" max="27" width="12.140625" bestFit="1" customWidth="1"/>
    <col min="28" max="28" width="11.28515625" customWidth="1"/>
    <col min="29" max="29" width="11.28515625" bestFit="1" customWidth="1"/>
  </cols>
  <sheetData>
    <row r="2" spans="3:15" ht="15.75" thickBot="1" x14ac:dyDescent="0.3"/>
    <row r="3" spans="3:15" x14ac:dyDescent="0.25">
      <c r="C3" s="8" t="s">
        <v>1</v>
      </c>
      <c r="D3" s="9" t="s">
        <v>7</v>
      </c>
      <c r="E3" s="9" t="s">
        <v>0</v>
      </c>
      <c r="F3" s="9" t="s">
        <v>9</v>
      </c>
      <c r="G3" s="9" t="s">
        <v>8</v>
      </c>
      <c r="H3" s="9" t="s">
        <v>16</v>
      </c>
      <c r="I3" s="9" t="s">
        <v>17</v>
      </c>
      <c r="J3" s="9" t="s">
        <v>18</v>
      </c>
      <c r="K3" s="10" t="s">
        <v>19</v>
      </c>
    </row>
    <row r="4" spans="3:15" ht="18" customHeight="1" x14ac:dyDescent="0.25">
      <c r="C4" s="1"/>
      <c r="D4" s="2"/>
      <c r="E4" s="2"/>
      <c r="F4" s="2"/>
      <c r="G4" s="2"/>
      <c r="H4" s="2"/>
      <c r="I4" s="2"/>
      <c r="J4" s="2"/>
      <c r="K4" s="3"/>
    </row>
    <row r="5" spans="3:15" x14ac:dyDescent="0.25">
      <c r="C5" s="4">
        <v>46054</v>
      </c>
      <c r="D5" s="2">
        <v>101</v>
      </c>
      <c r="E5" s="11" t="s">
        <v>2</v>
      </c>
      <c r="F5" s="2" t="s">
        <v>12</v>
      </c>
      <c r="G5" s="2" t="s">
        <v>11</v>
      </c>
      <c r="H5" s="2">
        <v>50000</v>
      </c>
      <c r="I5" s="2">
        <v>0.02</v>
      </c>
      <c r="J5" s="2">
        <f>H5*I5</f>
        <v>1000</v>
      </c>
      <c r="K5" s="3" t="str">
        <f>IF(H5&gt;40000,"ELITE","REGULAR")</f>
        <v>ELITE</v>
      </c>
    </row>
    <row r="6" spans="3:15" x14ac:dyDescent="0.25">
      <c r="C6" s="4">
        <v>46055</v>
      </c>
      <c r="D6" s="2">
        <v>102</v>
      </c>
      <c r="E6" s="11" t="s">
        <v>3</v>
      </c>
      <c r="F6" s="2" t="s">
        <v>13</v>
      </c>
      <c r="G6" s="2" t="s">
        <v>10</v>
      </c>
      <c r="H6" s="2">
        <v>55000</v>
      </c>
      <c r="I6" s="2">
        <v>0.05</v>
      </c>
      <c r="J6" s="2">
        <f t="shared" ref="J6:J10" si="0">H6*I6</f>
        <v>2750</v>
      </c>
      <c r="K6" s="3" t="str">
        <f t="shared" ref="K6:K10" si="1">IF(H6&gt;40000,"ELITE","REGULAR")</f>
        <v>ELITE</v>
      </c>
    </row>
    <row r="7" spans="3:15" x14ac:dyDescent="0.25">
      <c r="C7" s="4">
        <v>46056</v>
      </c>
      <c r="D7" s="2">
        <v>103</v>
      </c>
      <c r="E7" s="11" t="s">
        <v>4</v>
      </c>
      <c r="F7" s="2" t="s">
        <v>12</v>
      </c>
      <c r="G7" s="2" t="s">
        <v>11</v>
      </c>
      <c r="H7" s="2">
        <v>40000</v>
      </c>
      <c r="I7" s="2">
        <v>0.04</v>
      </c>
      <c r="J7" s="2">
        <f t="shared" si="0"/>
        <v>1600</v>
      </c>
      <c r="K7" s="3" t="str">
        <f t="shared" si="1"/>
        <v>REGULAR</v>
      </c>
    </row>
    <row r="8" spans="3:15" x14ac:dyDescent="0.25">
      <c r="C8" s="4">
        <v>46057</v>
      </c>
      <c r="D8" s="2">
        <v>104</v>
      </c>
      <c r="E8" s="11" t="s">
        <v>5</v>
      </c>
      <c r="F8" s="2" t="s">
        <v>14</v>
      </c>
      <c r="G8" s="2" t="s">
        <v>10</v>
      </c>
      <c r="H8" s="2">
        <v>30000</v>
      </c>
      <c r="I8" s="2">
        <v>0.08</v>
      </c>
      <c r="J8" s="2">
        <f t="shared" si="0"/>
        <v>2400</v>
      </c>
      <c r="K8" s="3" t="str">
        <f t="shared" si="1"/>
        <v>REGULAR</v>
      </c>
    </row>
    <row r="9" spans="3:15" x14ac:dyDescent="0.25">
      <c r="C9" s="4">
        <v>46058</v>
      </c>
      <c r="D9" s="2">
        <v>105</v>
      </c>
      <c r="E9" s="11" t="s">
        <v>6</v>
      </c>
      <c r="F9" s="2" t="s">
        <v>15</v>
      </c>
      <c r="G9" s="2" t="s">
        <v>11</v>
      </c>
      <c r="H9" s="2">
        <v>35000</v>
      </c>
      <c r="I9" s="2">
        <v>0.12</v>
      </c>
      <c r="J9" s="2">
        <f t="shared" si="0"/>
        <v>4200</v>
      </c>
      <c r="K9" s="3" t="str">
        <f t="shared" si="1"/>
        <v>REGULAR</v>
      </c>
    </row>
    <row r="10" spans="3:15" ht="15.75" thickBot="1" x14ac:dyDescent="0.3">
      <c r="C10" s="5">
        <v>46059</v>
      </c>
      <c r="D10" s="6">
        <v>106</v>
      </c>
      <c r="E10" s="12" t="s">
        <v>2</v>
      </c>
      <c r="F10" s="6" t="s">
        <v>13</v>
      </c>
      <c r="G10" s="6" t="s">
        <v>10</v>
      </c>
      <c r="H10" s="6">
        <v>60000</v>
      </c>
      <c r="I10" s="6">
        <v>0.06</v>
      </c>
      <c r="J10" s="6">
        <f t="shared" si="0"/>
        <v>3600</v>
      </c>
      <c r="K10" s="7" t="str">
        <f t="shared" si="1"/>
        <v>ELITE</v>
      </c>
    </row>
    <row r="12" spans="3:15" ht="15.75" thickBot="1" x14ac:dyDescent="0.3"/>
    <row r="13" spans="3:15" ht="15.75" thickBot="1" x14ac:dyDescent="0.3">
      <c r="C13" s="20" t="s">
        <v>20</v>
      </c>
      <c r="D13" s="21"/>
      <c r="E13" s="22" t="s">
        <v>21</v>
      </c>
      <c r="F13" s="13"/>
      <c r="K13" s="23" t="s">
        <v>26</v>
      </c>
      <c r="L13" s="23"/>
      <c r="M13" s="23"/>
      <c r="N13" s="23"/>
    </row>
    <row r="14" spans="3:15" ht="15.75" thickBot="1" x14ac:dyDescent="0.3">
      <c r="K14" s="23"/>
      <c r="L14" s="23"/>
      <c r="M14" s="23"/>
      <c r="N14" s="23"/>
    </row>
    <row r="15" spans="3:15" ht="21.75" customHeight="1" x14ac:dyDescent="0.25">
      <c r="C15" s="14" t="s">
        <v>22</v>
      </c>
      <c r="D15" s="15"/>
      <c r="E15" s="16" t="s">
        <v>23</v>
      </c>
      <c r="F15" s="15" t="s">
        <v>24</v>
      </c>
      <c r="G15" s="17" t="s">
        <v>25</v>
      </c>
      <c r="K15" s="23"/>
      <c r="L15" s="23"/>
      <c r="M15" s="23"/>
      <c r="N15" s="23"/>
    </row>
    <row r="16" spans="3:15" ht="15.75" thickBot="1" x14ac:dyDescent="0.3">
      <c r="C16" s="1"/>
      <c r="D16" s="2"/>
      <c r="E16" s="2"/>
      <c r="F16" s="2"/>
      <c r="G16" s="3"/>
      <c r="N16" s="31" t="s">
        <v>0</v>
      </c>
      <c r="O16" t="s">
        <v>36</v>
      </c>
    </row>
    <row r="17" spans="3:22" ht="15.75" x14ac:dyDescent="0.25">
      <c r="C17" s="18" t="s">
        <v>2</v>
      </c>
      <c r="D17" s="2"/>
      <c r="E17" s="2">
        <f>SUMIF(E5:E10,E5,H5:H10)</f>
        <v>110000</v>
      </c>
      <c r="F17" s="2">
        <f>SUMIF(E5:E10,E5,J5:J10)</f>
        <v>4600</v>
      </c>
      <c r="G17" s="3">
        <f>COUNTIF(F5:F10,F5)</f>
        <v>2</v>
      </c>
      <c r="K17" s="24" t="s">
        <v>27</v>
      </c>
      <c r="L17" s="25">
        <f>SUM(H5:H10)</f>
        <v>270000</v>
      </c>
    </row>
    <row r="18" spans="3:22" x14ac:dyDescent="0.25">
      <c r="C18" s="18" t="s">
        <v>3</v>
      </c>
      <c r="D18" s="2"/>
      <c r="E18" s="2">
        <f t="shared" ref="E18:E21" si="2">SUMIF(E6:E11,E6,H6:H11)</f>
        <v>55000</v>
      </c>
      <c r="F18" s="2">
        <f t="shared" ref="F18:F21" si="3">SUMIF(E6:E11,E6,J6:J11)</f>
        <v>2750</v>
      </c>
      <c r="G18" s="3">
        <f>COUNTIF(F6:F11,F6)</f>
        <v>2</v>
      </c>
      <c r="K18" s="26" t="s">
        <v>28</v>
      </c>
      <c r="L18" s="27">
        <f>AVERAGE(H5:H10)</f>
        <v>45000</v>
      </c>
      <c r="O18" s="31" t="s">
        <v>37</v>
      </c>
    </row>
    <row r="19" spans="3:22" x14ac:dyDescent="0.25">
      <c r="C19" s="18" t="s">
        <v>4</v>
      </c>
      <c r="D19" s="2"/>
      <c r="E19" s="2">
        <f t="shared" si="2"/>
        <v>40000</v>
      </c>
      <c r="F19" s="2">
        <f t="shared" si="3"/>
        <v>1600</v>
      </c>
      <c r="G19" s="3">
        <f>COUNTIF(F5:F10,F7)</f>
        <v>2</v>
      </c>
      <c r="K19" s="26" t="s">
        <v>29</v>
      </c>
      <c r="L19" s="27">
        <f>MIN(H5:H10)</f>
        <v>30000</v>
      </c>
      <c r="N19" s="31" t="s">
        <v>40</v>
      </c>
      <c r="O19">
        <v>30000</v>
      </c>
      <c r="P19">
        <v>35000</v>
      </c>
      <c r="Q19">
        <v>40000</v>
      </c>
      <c r="R19">
        <v>50000</v>
      </c>
      <c r="S19">
        <v>55000</v>
      </c>
      <c r="T19">
        <v>60000</v>
      </c>
      <c r="U19" t="s">
        <v>38</v>
      </c>
      <c r="V19" t="s">
        <v>39</v>
      </c>
    </row>
    <row r="20" spans="3:22" x14ac:dyDescent="0.25">
      <c r="C20" s="18" t="s">
        <v>5</v>
      </c>
      <c r="D20" s="2"/>
      <c r="E20" s="2">
        <f t="shared" si="2"/>
        <v>30000</v>
      </c>
      <c r="F20" s="2">
        <f t="shared" si="3"/>
        <v>2400</v>
      </c>
      <c r="G20" s="3">
        <f>COUNTIF(F8:F13,F8)</f>
        <v>1</v>
      </c>
      <c r="K20" s="26" t="s">
        <v>30</v>
      </c>
      <c r="L20" s="27">
        <f>MAX(H5:H10)</f>
        <v>60000</v>
      </c>
      <c r="N20" s="32">
        <v>101</v>
      </c>
    </row>
    <row r="21" spans="3:22" x14ac:dyDescent="0.25">
      <c r="C21" s="18" t="s">
        <v>6</v>
      </c>
      <c r="D21" s="2"/>
      <c r="E21" s="2">
        <f t="shared" si="2"/>
        <v>35000</v>
      </c>
      <c r="F21" s="2">
        <f t="shared" si="3"/>
        <v>4200</v>
      </c>
      <c r="G21" s="3">
        <f>COUNTIF(F9:F14,F9)</f>
        <v>1</v>
      </c>
      <c r="K21" s="26" t="s">
        <v>31</v>
      </c>
      <c r="L21" s="27">
        <f>COUNT(H5:H10)</f>
        <v>6</v>
      </c>
      <c r="N21" s="32">
        <v>102</v>
      </c>
    </row>
    <row r="22" spans="3:22" ht="15.75" thickBot="1" x14ac:dyDescent="0.3">
      <c r="C22" s="19" t="s">
        <v>2</v>
      </c>
      <c r="D22" s="6"/>
      <c r="E22" s="6">
        <f>SUMIF(E5:E10,E5,H5:H10)</f>
        <v>110000</v>
      </c>
      <c r="F22" s="6">
        <v>4600</v>
      </c>
      <c r="G22" s="7">
        <f>COUNTIF(F5:F10,F10)</f>
        <v>2</v>
      </c>
      <c r="K22" s="26" t="s">
        <v>19</v>
      </c>
      <c r="L22" s="27" t="str">
        <f>IF(H5&gt;45000,"YES","NO")</f>
        <v>YES</v>
      </c>
      <c r="N22" s="32">
        <v>103</v>
      </c>
    </row>
    <row r="23" spans="3:22" x14ac:dyDescent="0.25">
      <c r="K23" s="26" t="s">
        <v>32</v>
      </c>
      <c r="L23" s="27">
        <f>VLOOKUP(E5,E3:K10,4,FALSE)</f>
        <v>50000</v>
      </c>
      <c r="N23" s="32">
        <v>104</v>
      </c>
    </row>
    <row r="24" spans="3:22" x14ac:dyDescent="0.25">
      <c r="K24" s="26" t="s">
        <v>33</v>
      </c>
      <c r="L24" s="27">
        <f>COUNTIF(F5:F10,F5)</f>
        <v>2</v>
      </c>
      <c r="N24" s="32">
        <v>105</v>
      </c>
    </row>
    <row r="25" spans="3:22" ht="15.75" thickBot="1" x14ac:dyDescent="0.3">
      <c r="K25" s="28" t="s">
        <v>34</v>
      </c>
      <c r="L25" s="29">
        <f>SUMIF(F5:F10,F5,H5:H10)</f>
        <v>90000</v>
      </c>
      <c r="N25" s="32">
        <v>106</v>
      </c>
    </row>
    <row r="26" spans="3:22" ht="15.75" thickBot="1" x14ac:dyDescent="0.3">
      <c r="K26" s="30" t="s">
        <v>35</v>
      </c>
      <c r="L26" s="7">
        <v>224</v>
      </c>
      <c r="N26" s="32" t="s">
        <v>38</v>
      </c>
    </row>
    <row r="27" spans="3:22" x14ac:dyDescent="0.25">
      <c r="N27" s="32" t="s">
        <v>39</v>
      </c>
    </row>
  </sheetData>
  <autoFilter ref="C3:K3"/>
  <mergeCells count="1">
    <mergeCell ref="K13:N15"/>
  </mergeCells>
  <conditionalFormatting sqref="H5:H10">
    <cfRule type="cellIs" dxfId="1" priority="1" operator="lessThan">
      <formula>40000</formula>
    </cfRule>
    <cfRule type="cellIs" dxfId="0" priority="2" operator="greaterThan">
      <formula>40000</formula>
    </cfRule>
  </conditionalFormatting>
  <dataValidations count="2">
    <dataValidation type="whole" operator="equal" allowBlank="1" showInputMessage="1" showErrorMessage="1" errorTitle="ABC" error="XYZ" promptTitle="RIDA" prompt="123" sqref="G32:G33">
      <formula1>C16</formula1>
    </dataValidation>
    <dataValidation type="whole" operator="equal" allowBlank="1" showInputMessage="1" showErrorMessage="1" errorTitle="ABC" error="XYZ" promptTitle="RIDA" prompt="123" sqref="L26">
      <formula1>224</formula1>
    </dataValidation>
  </dataValidation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BQ1</dc:creator>
  <cp:lastModifiedBy>BQ1</cp:lastModifiedBy>
  <dcterms:created xsi:type="dcterms:W3CDTF">2026-06-20T09:23:56Z</dcterms:created>
  <dcterms:modified xsi:type="dcterms:W3CDTF">2026-06-21T10:08:36Z</dcterms:modified>
</cp:coreProperties>
</file>